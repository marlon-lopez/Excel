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lon\Documents\"/>
    </mc:Choice>
  </mc:AlternateContent>
  <xr:revisionPtr revIDLastSave="0" documentId="13_ncr:1_{4DBD62E9-F3DF-472A-9672-C345AD50DEF2}" xr6:coauthVersionLast="47" xr6:coauthVersionMax="47" xr10:uidLastSave="{00000000-0000-0000-0000-000000000000}"/>
  <bookViews>
    <workbookView minimized="1" xWindow="3375" yWindow="1410" windowWidth="14400" windowHeight="10755" activeTab="1" xr2:uid="{3103DA26-C7F4-4BAF-860A-F1D9A00FB7B2}"/>
  </bookViews>
  <sheets>
    <sheet name="FORMULARIO" sheetId="1" r:id="rId1"/>
    <sheet name="EMPLEADOS" sheetId="3" r:id="rId2"/>
    <sheet name="DATO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1" i="1" l="1"/>
  <c r="J55" i="1"/>
  <c r="J57" i="1"/>
  <c r="J58" i="1"/>
  <c r="J59" i="1"/>
  <c r="J60" i="1"/>
  <c r="J56" i="1"/>
  <c r="Q3" i="1"/>
  <c r="B3" i="1"/>
  <c r="C17" i="3"/>
  <c r="B17" i="3"/>
</calcChain>
</file>

<file path=xl/sharedStrings.xml><?xml version="1.0" encoding="utf-8"?>
<sst xmlns="http://schemas.openxmlformats.org/spreadsheetml/2006/main" count="224" uniqueCount="160">
  <si>
    <t>Nombre Completo</t>
  </si>
  <si>
    <t>Puesto</t>
  </si>
  <si>
    <t>Area</t>
  </si>
  <si>
    <t>Turno</t>
  </si>
  <si>
    <t>Supervisor</t>
  </si>
  <si>
    <t>Fecha de nacimiento</t>
  </si>
  <si>
    <t xml:space="preserve">Edad </t>
  </si>
  <si>
    <t>Genero</t>
  </si>
  <si>
    <t>Nacionalidad</t>
  </si>
  <si>
    <t>Numero de Telefono</t>
  </si>
  <si>
    <t>Tipo de transporte que usa</t>
  </si>
  <si>
    <t>Numero de DUI</t>
  </si>
  <si>
    <t>Fecha de Expedicion</t>
  </si>
  <si>
    <t>Fecha de Vencimiento</t>
  </si>
  <si>
    <t>Direccion Actual</t>
  </si>
  <si>
    <t>Expedido en Municipio</t>
  </si>
  <si>
    <t>Expedido en Departamento</t>
  </si>
  <si>
    <t>Profecion según DUI</t>
  </si>
  <si>
    <t>Estado Familiar según DUI</t>
  </si>
  <si>
    <t>Nombre de la Madre</t>
  </si>
  <si>
    <t>Nombre del Padre</t>
  </si>
  <si>
    <t>Informacion de Estudios</t>
  </si>
  <si>
    <t>Nivel de Estudio</t>
  </si>
  <si>
    <t>Educacion Basica</t>
  </si>
  <si>
    <t>Grado</t>
  </si>
  <si>
    <t>Nombre de la institucion</t>
  </si>
  <si>
    <t>Titulo Obtenido</t>
  </si>
  <si>
    <t>Fecha de Finalizacion</t>
  </si>
  <si>
    <t>Bachillerato</t>
  </si>
  <si>
    <t>Universidad</t>
  </si>
  <si>
    <t>Otros Estudios</t>
  </si>
  <si>
    <t>Datos Familiares</t>
  </si>
  <si>
    <t>Nombre del Conyuge</t>
  </si>
  <si>
    <t>Fecha de Nacimiento</t>
  </si>
  <si>
    <t>Edad</t>
  </si>
  <si>
    <t>Nombre de sus hijos</t>
  </si>
  <si>
    <t>En caso de emergencia llamar a:</t>
  </si>
  <si>
    <t>Nombre</t>
  </si>
  <si>
    <t>Parentezco</t>
  </si>
  <si>
    <t># de telefono</t>
  </si>
  <si>
    <t>Beneficiarios</t>
  </si>
  <si>
    <t>Nombre completo de beneficiario</t>
  </si>
  <si>
    <t>Porcentaje</t>
  </si>
  <si>
    <t>Fecha Actual</t>
  </si>
  <si>
    <t>Codigo de Empleado</t>
  </si>
  <si>
    <t>Cpanel</t>
  </si>
  <si>
    <t>Sel Row</t>
  </si>
  <si>
    <t>Search</t>
  </si>
  <si>
    <t>Datos DUI</t>
  </si>
  <si>
    <t>Informacion Estudios</t>
  </si>
  <si>
    <t>Informacion Empleado</t>
  </si>
  <si>
    <t>SelTab Col</t>
  </si>
  <si>
    <t>Informacion de Empleado</t>
  </si>
  <si>
    <t>Datos Según DUI</t>
  </si>
  <si>
    <t>Seleccione Empleado</t>
  </si>
  <si>
    <t>ID</t>
  </si>
  <si>
    <t>Numero de telefono</t>
  </si>
  <si>
    <t>ID_Empleado</t>
  </si>
  <si>
    <t>Fecha de finalizacion</t>
  </si>
  <si>
    <t>Nombre de Hijo</t>
  </si>
  <si>
    <t>Nombre de Beneficiario</t>
  </si>
  <si>
    <t>ID_Beneficiario</t>
  </si>
  <si>
    <t>ID_Hijo</t>
  </si>
  <si>
    <t>ID_Estudio</t>
  </si>
  <si>
    <t>G12</t>
  </si>
  <si>
    <t>G14</t>
  </si>
  <si>
    <t>G16</t>
  </si>
  <si>
    <t>G18</t>
  </si>
  <si>
    <t>G20</t>
  </si>
  <si>
    <t>L12</t>
  </si>
  <si>
    <t>L14</t>
  </si>
  <si>
    <t>L16</t>
  </si>
  <si>
    <t>L18</t>
  </si>
  <si>
    <t>L20</t>
  </si>
  <si>
    <t>L22</t>
  </si>
  <si>
    <t>G27</t>
  </si>
  <si>
    <t>G28</t>
  </si>
  <si>
    <t>G29</t>
  </si>
  <si>
    <t>G30</t>
  </si>
  <si>
    <t>G31</t>
  </si>
  <si>
    <t>L27</t>
  </si>
  <si>
    <t>L28</t>
  </si>
  <si>
    <t>L29</t>
  </si>
  <si>
    <t>L30</t>
  </si>
  <si>
    <t>L31</t>
  </si>
  <si>
    <t>E48</t>
  </si>
  <si>
    <t>Edad Cpmyuge</t>
  </si>
  <si>
    <t>Fecha de nacimiento conyuge</t>
  </si>
  <si>
    <t>Genero Conyuge</t>
  </si>
  <si>
    <t>Tabla Informacion General</t>
  </si>
  <si>
    <t>Tabla Informacion sobre estudios</t>
  </si>
  <si>
    <t>Tabla informacion de hijos</t>
  </si>
  <si>
    <t>Tabla informacion de beneficiarios</t>
  </si>
  <si>
    <t>JOSE LUIS MARTINEZ</t>
  </si>
  <si>
    <t xml:space="preserve"> </t>
  </si>
  <si>
    <t>NOMBRE</t>
  </si>
  <si>
    <t>VICTOR</t>
  </si>
  <si>
    <t>PUESTO</t>
  </si>
  <si>
    <t>AREA</t>
  </si>
  <si>
    <t>TURNO</t>
  </si>
  <si>
    <t>FECHA DE NACIMIENTO</t>
  </si>
  <si>
    <t>EDAD</t>
  </si>
  <si>
    <t>GENERO</t>
  </si>
  <si>
    <t>Juan Pablo Pérez Martínez</t>
  </si>
  <si>
    <t>Desarrollador de Software</t>
  </si>
  <si>
    <t>Desarrollo</t>
  </si>
  <si>
    <t>Matutino</t>
  </si>
  <si>
    <t>Masculino</t>
  </si>
  <si>
    <t>María Sofía García López</t>
  </si>
  <si>
    <t>Analista de Datos</t>
  </si>
  <si>
    <t>Ciencia de Datos</t>
  </si>
  <si>
    <t>Vespertino</t>
  </si>
  <si>
    <t>Femenino</t>
  </si>
  <si>
    <t>Pedro Antonio López González</t>
  </si>
  <si>
    <t>Diseñador Gráfico</t>
  </si>
  <si>
    <t>Marketing</t>
  </si>
  <si>
    <t>Ana Gabriela Sánchez Muñoz</t>
  </si>
  <si>
    <t>Ingeniera de Sistemas</t>
  </si>
  <si>
    <t>Infraestructura</t>
  </si>
  <si>
    <t>Carlos Alberto Rodríguez Hernández</t>
  </si>
  <si>
    <t>Técnico de Soporte</t>
  </si>
  <si>
    <t>Soporte Técnico</t>
  </si>
  <si>
    <t>San Salvador, San Salvador centro, comunidad quiñones poligono 18 lote numero 27</t>
  </si>
  <si>
    <t>Soltero</t>
  </si>
  <si>
    <t>Estudiante</t>
  </si>
  <si>
    <t>San Salvador</t>
  </si>
  <si>
    <t>emmasd sdasdhas asdasda asdasd</t>
  </si>
  <si>
    <t>iodhasd asdhada asdhasd asdhaso</t>
  </si>
  <si>
    <t>56456456-2</t>
  </si>
  <si>
    <t>primero a noveno</t>
  </si>
  <si>
    <t>Centro Escolar Catolico Nuestra señora de lourdes</t>
  </si>
  <si>
    <t>Eduacion Basica</t>
  </si>
  <si>
    <t>Primer y Segundo Año bachillerato General</t>
  </si>
  <si>
    <t>Centro Escolar "Walter Thilo Deininger" Cojutepeque</t>
  </si>
  <si>
    <t>Bachiller Gerenal con dilplomado en diseño</t>
  </si>
  <si>
    <t>Pregrado</t>
  </si>
  <si>
    <t>Universidad Pedagogica de El Salvador Dr Luis Alonso Aparicio</t>
  </si>
  <si>
    <t>Ingeniero en Sistemas y Computacion</t>
  </si>
  <si>
    <t>Diplomado</t>
  </si>
  <si>
    <t>Centro ¡Superate! Merlet</t>
  </si>
  <si>
    <t>Diplomado en ingles, computacion y valores</t>
  </si>
  <si>
    <t>FORMULARIO ACTUALIZACION DE INFORMACION</t>
  </si>
  <si>
    <t>Mariana Guadalupe Paula Valentina Martínez</t>
  </si>
  <si>
    <t>Fecha de Nacimiento    (DD/MM/YYYY)</t>
  </si>
  <si>
    <t>Extranjera</t>
  </si>
  <si>
    <t>Salvadoreña</t>
  </si>
  <si>
    <t>Transporte</t>
  </si>
  <si>
    <t>Camina</t>
  </si>
  <si>
    <t>Autobus de la empresa</t>
  </si>
  <si>
    <t>Vehiculo propio</t>
  </si>
  <si>
    <t>ESCRIBIR AL COMPLETAR EN LAS TABLAS DE LA HOJA EMPLEADOS</t>
  </si>
  <si>
    <t>RELLENAR LA PLANTILLA CON LOS DATOS DE LA TABLA</t>
  </si>
  <si>
    <t>asdas</t>
  </si>
  <si>
    <t>dasdas</t>
  </si>
  <si>
    <t>Victoria Valentina Ramírez Flores</t>
  </si>
  <si>
    <t>María Fernanda Martínez Hernández</t>
  </si>
  <si>
    <t>Carlos Francisco Martínez González</t>
  </si>
  <si>
    <t>Noé Alejandro Martínez Hernández</t>
  </si>
  <si>
    <t>Hermano</t>
  </si>
  <si>
    <t>Hijo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</si>
</sst>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4" tint="-0.499984740745262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rial"/>
      <family val="2"/>
    </font>
    <font>
      <b/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theme="4" tint="0.40000610370189521"/>
        </stop>
        <stop position="0.5">
          <color theme="7" tint="0.40000610370189521"/>
        </stop>
        <stop position="1">
          <color theme="4" tint="0.40000610370189521"/>
        </stop>
      </gradient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64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64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thin">
        <color indexed="64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7558519241921"/>
      </bottom>
      <diagonal/>
    </border>
    <border>
      <left/>
      <right/>
      <top style="medium">
        <color theme="4" tint="0.39994506668294322"/>
      </top>
      <bottom style="medium">
        <color theme="4" tint="0.39997558519241921"/>
      </bottom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44B3E1"/>
      </left>
      <right/>
      <top style="medium">
        <color rgb="FF44B3E1"/>
      </top>
      <bottom style="medium">
        <color rgb="FF44B3E1"/>
      </bottom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2" borderId="0" xfId="0" applyFill="1"/>
    <xf numFmtId="0" fontId="4" fillId="0" borderId="4" xfId="0" applyFont="1" applyBorder="1" applyAlignment="1">
      <alignment horizontal="right" wrapText="1"/>
    </xf>
    <xf numFmtId="0" fontId="4" fillId="0" borderId="4" xfId="0" applyFont="1" applyBorder="1" applyAlignment="1">
      <alignment wrapText="1"/>
    </xf>
    <xf numFmtId="14" fontId="4" fillId="0" borderId="4" xfId="0" applyNumberFormat="1" applyFont="1" applyBorder="1" applyAlignment="1">
      <alignment horizontal="right" wrapText="1"/>
    </xf>
    <xf numFmtId="0" fontId="0" fillId="6" borderId="0" xfId="0" applyFill="1"/>
    <xf numFmtId="0" fontId="1" fillId="6" borderId="0" xfId="0" applyFon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0" fillId="5" borderId="13" xfId="0" applyFill="1" applyBorder="1" applyAlignment="1">
      <alignment horizontal="center"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1" fillId="3" borderId="17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/>
    </xf>
    <xf numFmtId="0" fontId="0" fillId="6" borderId="5" xfId="0" applyFill="1" applyBorder="1"/>
    <xf numFmtId="0" fontId="1" fillId="3" borderId="17" xfId="0" applyFont="1" applyFill="1" applyBorder="1" applyAlignment="1">
      <alignment vertical="center"/>
    </xf>
    <xf numFmtId="0" fontId="1" fillId="3" borderId="19" xfId="0" applyFont="1" applyFill="1" applyBorder="1" applyAlignment="1">
      <alignment vertical="center"/>
    </xf>
    <xf numFmtId="22" fontId="0" fillId="6" borderId="5" xfId="0" applyNumberFormat="1" applyFill="1" applyBorder="1"/>
    <xf numFmtId="14" fontId="0" fillId="6" borderId="0" xfId="0" applyNumberFormat="1" applyFill="1"/>
    <xf numFmtId="0" fontId="1" fillId="3" borderId="20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0" fillId="5" borderId="5" xfId="0" applyNumberFormat="1" applyFill="1" applyBorder="1" applyAlignment="1">
      <alignment horizontal="center"/>
    </xf>
    <xf numFmtId="0" fontId="1" fillId="3" borderId="17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5" borderId="5" xfId="0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1" fillId="3" borderId="10" xfId="0" applyFont="1" applyFill="1" applyBorder="1" applyAlignment="1">
      <alignment horizontal="left" vertical="center"/>
    </xf>
    <xf numFmtId="0" fontId="1" fillId="3" borderId="12" xfId="0" applyFont="1" applyFill="1" applyBorder="1" applyAlignment="1">
      <alignment horizontal="left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" fillId="6" borderId="2" xfId="0" applyFont="1" applyFill="1" applyBorder="1" applyAlignment="1">
      <alignment horizontal="left"/>
    </xf>
    <xf numFmtId="0" fontId="1" fillId="6" borderId="3" xfId="0" applyFont="1" applyFill="1" applyBorder="1" applyAlignment="1">
      <alignment horizontal="left"/>
    </xf>
    <xf numFmtId="0" fontId="1" fillId="6" borderId="0" xfId="0" applyFont="1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14" fontId="0" fillId="5" borderId="9" xfId="0" applyNumberForma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" fillId="6" borderId="1" xfId="0" applyFont="1" applyFill="1" applyBorder="1" applyAlignment="1">
      <alignment horizontal="left"/>
    </xf>
    <xf numFmtId="0" fontId="0" fillId="5" borderId="18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1" fillId="6" borderId="0" xfId="0" applyFont="1" applyFill="1" applyAlignment="1">
      <alignment horizontal="left"/>
    </xf>
    <xf numFmtId="0" fontId="0" fillId="5" borderId="5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3" borderId="10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1" fillId="6" borderId="1" xfId="0" applyFont="1" applyFill="1" applyBorder="1" applyAlignment="1" applyProtection="1">
      <alignment horizontal="left"/>
    </xf>
    <xf numFmtId="14" fontId="0" fillId="5" borderId="11" xfId="0" applyNumberFormat="1" applyFill="1" applyBorder="1" applyAlignment="1">
      <alignment horizontal="center" vertical="center"/>
    </xf>
    <xf numFmtId="0" fontId="0" fillId="0" borderId="22" xfId="0" applyFont="1" applyBorder="1"/>
    <xf numFmtId="0" fontId="0" fillId="0" borderId="23" xfId="0" applyFont="1" applyBorder="1"/>
    <xf numFmtId="0" fontId="0" fillId="5" borderId="5" xfId="0" applyFont="1" applyFill="1" applyBorder="1" applyAlignment="1">
      <alignment horizontal="center"/>
    </xf>
    <xf numFmtId="14" fontId="0" fillId="5" borderId="18" xfId="0" applyNumberFormat="1" applyFill="1" applyBorder="1" applyAlignment="1">
      <alignment horizontal="center" vertical="center"/>
    </xf>
    <xf numFmtId="10" fontId="0" fillId="5" borderId="5" xfId="0" applyNumberFormat="1" applyFill="1" applyBorder="1" applyAlignment="1">
      <alignment horizontal="center" vertical="center"/>
    </xf>
    <xf numFmtId="0" fontId="0" fillId="0" borderId="24" xfId="0" applyFont="1" applyBorder="1"/>
    <xf numFmtId="0" fontId="7" fillId="8" borderId="25" xfId="0" applyFont="1" applyFill="1" applyBorder="1"/>
    <xf numFmtId="0" fontId="7" fillId="8" borderId="26" xfId="0" applyFont="1" applyFill="1" applyBorder="1"/>
    <xf numFmtId="0" fontId="7" fillId="8" borderId="27" xfId="0" applyFont="1" applyFill="1" applyBorder="1"/>
    <xf numFmtId="0" fontId="0" fillId="9" borderId="25" xfId="0" applyFont="1" applyFill="1" applyBorder="1"/>
    <xf numFmtId="0" fontId="0" fillId="9" borderId="26" xfId="0" applyFont="1" applyFill="1" applyBorder="1"/>
    <xf numFmtId="0" fontId="0" fillId="9" borderId="27" xfId="0" applyFont="1" applyFill="1" applyBorder="1"/>
    <xf numFmtId="0" fontId="0" fillId="0" borderId="25" xfId="0" applyFont="1" applyBorder="1"/>
    <xf numFmtId="0" fontId="0" fillId="0" borderId="26" xfId="0" applyFont="1" applyBorder="1"/>
    <xf numFmtId="0" fontId="0" fillId="0" borderId="27" xfId="0" applyFont="1" applyBorder="1"/>
  </cellXfs>
  <cellStyles count="1">
    <cellStyle name="Normal" xfId="0" builtinId="0"/>
  </cellStyles>
  <dxfs count="1">
    <dxf>
      <font>
        <b/>
        <i val="0"/>
      </font>
      <fill>
        <gradientFill degree="90">
          <stop position="0">
            <color theme="0" tint="-0.25098422193060094"/>
          </stop>
          <stop position="1">
            <color theme="0" tint="-0.34900967436750391"/>
          </stop>
        </gradientFill>
      </fill>
    </dxf>
  </dxfs>
  <tableStyles count="0" defaultTableStyle="TableStyleMedium2" defaultPivotStyle="PivotStyleLight16"/>
  <colors>
    <mruColors>
      <color rgb="FF44B3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638175</xdr:colOff>
          <xdr:row>6</xdr:row>
          <xdr:rowOff>95250</xdr:rowOff>
        </xdr:from>
        <xdr:to>
          <xdr:col>14</xdr:col>
          <xdr:colOff>438150</xdr:colOff>
          <xdr:row>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638175</xdr:colOff>
          <xdr:row>9</xdr:row>
          <xdr:rowOff>95250</xdr:rowOff>
        </xdr:from>
        <xdr:to>
          <xdr:col>15</xdr:col>
          <xdr:colOff>142875</xdr:colOff>
          <xdr:row>10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9733F85-86CC-CBEE-DF28-A5CE5B756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559253</xdr:colOff>
          <xdr:row>25</xdr:row>
          <xdr:rowOff>152401</xdr:rowOff>
        </xdr:from>
        <xdr:to>
          <xdr:col>15</xdr:col>
          <xdr:colOff>59871</xdr:colOff>
          <xdr:row>26</xdr:row>
          <xdr:rowOff>155122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BDE5640D-01B1-BAA5-3936-FD8A8E637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64DCB1-6373-473C-944C-52A7A0203E81}" name="estudios_empleado" displayName="estudios_empleado" ref="AD7:AJ8" insertRow="1" totalsRowShown="0">
  <autoFilter ref="AD7:AJ8" xr:uid="{0164DCB1-6373-473C-944C-52A7A0203E81}"/>
  <tableColumns count="7">
    <tableColumn id="1" xr3:uid="{6DB02100-F820-4CA2-8FCC-D4D3A153EF97}" name="ID_Estudio"/>
    <tableColumn id="2" xr3:uid="{62914C14-5EA1-4273-B4EC-6077DB3BD703}" name="ID_Empleado"/>
    <tableColumn id="3" xr3:uid="{BCB06AC1-CB2F-4FA5-917C-A6CD32637702}" name="Nivel de Estudio"/>
    <tableColumn id="4" xr3:uid="{D60B4A9D-4CF5-4078-A3E2-21A6153615AF}" name="Grado"/>
    <tableColumn id="5" xr3:uid="{EE43FAF9-FC1A-42D3-A90D-E452B5907BDF}" name="Nombre de la institucion"/>
    <tableColumn id="6" xr3:uid="{E05CB6D2-F7B6-4D6C-B7F0-4CCA9F293E30}" name="Titulo Obtenido"/>
    <tableColumn id="7" xr3:uid="{36981513-DA0F-4F0F-B017-41584E3CAB26}" name="Fecha de finalizac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8455DF-1F43-471A-B5ED-0EF0EDF83C98}" name="hijos_empleado" displayName="hijos_empleado" ref="AL7:AQ8" insertRow="1" totalsRowShown="0">
  <autoFilter ref="AL7:AQ8" xr:uid="{1E8455DF-1F43-471A-B5ED-0EF0EDF83C98}"/>
  <tableColumns count="6">
    <tableColumn id="1" xr3:uid="{900E9C10-4502-4AAA-BF98-816C871AFAE5}" name="ID_Hijo"/>
    <tableColumn id="2" xr3:uid="{7DE110E9-C76B-4A2A-BC63-85BECD664007}" name="ID_Empleado"/>
    <tableColumn id="3" xr3:uid="{0154F1FB-A9CB-4B89-95D0-0313122F6A90}" name="Nombre de Hijo"/>
    <tableColumn id="4" xr3:uid="{ABB990B8-E5DD-4FF5-AC3D-751B7FB2DB32}" name="Fecha de Nacimiento"/>
    <tableColumn id="5" xr3:uid="{F73AA3D7-0E19-4870-8F90-F4EB919A120F}" name="Edad"/>
    <tableColumn id="6" xr3:uid="{E281EE71-346C-4BB6-BA0A-2E778B5DD38F}" name="Gener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6A0E89-31A6-4422-921C-CECCB8B60DC8}" name="beneficiarios_empleado" displayName="beneficiarios_empleado" ref="AS7:AX8" insertRow="1" totalsRowShown="0">
  <autoFilter ref="AS7:AX8" xr:uid="{946A0E89-31A6-4422-921C-CECCB8B60DC8}"/>
  <tableColumns count="6">
    <tableColumn id="1" xr3:uid="{CA96680F-9EBC-4B03-B5C6-FE892B7F5DB7}" name="ID_Beneficiario"/>
    <tableColumn id="2" xr3:uid="{C8725C07-2A82-4F83-BC4F-1A947D1DAF67}" name="ID_Empleado"/>
    <tableColumn id="3" xr3:uid="{737E866E-32AE-4593-B879-4C9086C931BC}" name="Nombre de Beneficiario"/>
    <tableColumn id="4" xr3:uid="{05DA574E-76D5-4246-B1E3-3F46A1A6BD9B}" name="Fecha de nacimiento"/>
    <tableColumn id="5" xr3:uid="{E38578DF-89E2-4E87-877C-6CC947702300}" name="Parentezco"/>
    <tableColumn id="6" xr3:uid="{26D7E149-1F6F-4DC3-859C-6565EBA0EB8D}" name="Porcentaj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82D038-2F1C-4717-B3A0-BCFC497A1605}" name="DATOS_DB_PRUEBA" displayName="DATOS_DB_PRUEBA" ref="A4:H11" totalsRowShown="0">
  <autoFilter ref="A4:H11" xr:uid="{E182D038-2F1C-4717-B3A0-BCFC497A1605}"/>
  <tableColumns count="8">
    <tableColumn id="1" xr3:uid="{4BE09EBE-E235-4FA0-B40B-52F600D68C1C}" name="ID"/>
    <tableColumn id="2" xr3:uid="{AF04AE6A-280A-453F-90B7-3F22555645A4}" name="NOMBRE"/>
    <tableColumn id="3" xr3:uid="{8DA4ED60-DAB4-43F1-97BA-1C07B85B71D9}" name="PUESTO"/>
    <tableColumn id="4" xr3:uid="{9A89C663-7F33-426D-848B-E8ED2A33A7C2}" name="AREA"/>
    <tableColumn id="5" xr3:uid="{8A16FE6D-50C7-4619-B222-1B228F56B237}" name="TURNO"/>
    <tableColumn id="6" xr3:uid="{8EC43893-7DCC-4C87-9DC9-AAC1540E9A38}" name="FECHA DE NACIMIENTO"/>
    <tableColumn id="7" xr3:uid="{68DB5558-C788-429B-B95C-45DF84A8E0FE}" name="EDAD"/>
    <tableColumn id="8" xr3:uid="{1CCD9C22-70CE-4D7C-AE27-4EEF121FECCC}" name="GENE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21CA0-E06A-4206-8596-C15467A639DD}">
  <sheetPr codeName="Formulario">
    <tabColor theme="3" tint="0.249977111117893"/>
  </sheetPr>
  <dimension ref="A1:W103"/>
  <sheetViews>
    <sheetView topLeftCell="C1" zoomScale="70" zoomScaleNormal="70" workbookViewId="0">
      <selection activeCell="E8" sqref="E8:F8"/>
    </sheetView>
  </sheetViews>
  <sheetFormatPr defaultColWidth="11.42578125" defaultRowHeight="15" x14ac:dyDescent="0.25"/>
  <cols>
    <col min="1" max="2" width="11.42578125" style="1" customWidth="1"/>
    <col min="3" max="4" width="11.42578125" customWidth="1"/>
    <col min="5" max="10" width="15.7109375" customWidth="1"/>
    <col min="11" max="11" width="16.5703125" customWidth="1"/>
    <col min="12" max="14" width="15.7109375" customWidth="1"/>
    <col min="15" max="15" width="20.140625" customWidth="1"/>
    <col min="17" max="17" width="16.42578125" bestFit="1" customWidth="1"/>
  </cols>
  <sheetData>
    <row r="1" spans="1:23" x14ac:dyDescent="0.25">
      <c r="A1" s="49" t="s">
        <v>45</v>
      </c>
      <c r="B1" s="49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ht="15.75" thickBot="1" x14ac:dyDescent="0.3">
      <c r="A2" s="1" t="s">
        <v>51</v>
      </c>
      <c r="B2" s="1">
        <v>5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ht="30" customHeight="1" thickBot="1" x14ac:dyDescent="0.3">
      <c r="A3" s="1" t="s">
        <v>46</v>
      </c>
      <c r="B3" s="1">
        <f>IFERROR(MATCH(G5,DATOS_DB_PRUEBA[ID],0),"NAN")</f>
        <v>2</v>
      </c>
      <c r="C3" s="37" t="s">
        <v>141</v>
      </c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15" t="s">
        <v>43</v>
      </c>
      <c r="P3" s="15"/>
      <c r="Q3" s="18">
        <f ca="1">NOW()</f>
        <v>45462.900613078702</v>
      </c>
      <c r="R3" s="5"/>
      <c r="S3" s="5"/>
      <c r="T3" s="5"/>
      <c r="U3" s="5"/>
      <c r="V3" s="5"/>
      <c r="W3" s="5"/>
    </row>
    <row r="4" spans="1:23" ht="15" customHeight="1" thickBot="1" x14ac:dyDescent="0.3">
      <c r="A4" s="1" t="s">
        <v>47</v>
      </c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15" t="s">
        <v>44</v>
      </c>
      <c r="P4" s="15"/>
      <c r="Q4" s="15"/>
      <c r="R4" s="5"/>
      <c r="S4" s="5"/>
      <c r="T4" s="5"/>
      <c r="U4" s="5"/>
      <c r="V4" s="5"/>
      <c r="W4" s="5"/>
    </row>
    <row r="5" spans="1:23" ht="20.100000000000001" customHeight="1" x14ac:dyDescent="0.25">
      <c r="C5" s="5"/>
      <c r="D5" s="5"/>
      <c r="E5" s="40" t="s">
        <v>54</v>
      </c>
      <c r="F5" s="40"/>
      <c r="G5" s="41">
        <v>2</v>
      </c>
      <c r="H5" s="41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5"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25"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ht="20.100000000000001" customHeight="1" x14ac:dyDescent="0.25">
      <c r="C8" s="5"/>
      <c r="D8" s="5"/>
      <c r="E8" s="50" t="s">
        <v>50</v>
      </c>
      <c r="F8" s="50"/>
      <c r="G8" s="62" t="s">
        <v>48</v>
      </c>
      <c r="H8" s="50" t="s">
        <v>49</v>
      </c>
      <c r="I8" s="50"/>
      <c r="J8" s="38" t="s">
        <v>31</v>
      </c>
      <c r="K8" s="39"/>
      <c r="L8" s="38" t="s">
        <v>40</v>
      </c>
      <c r="M8" s="39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5"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ht="21" x14ac:dyDescent="0.35">
      <c r="C10" s="5"/>
      <c r="D10" s="5"/>
      <c r="E10" s="32" t="s">
        <v>52</v>
      </c>
      <c r="F10" s="32"/>
      <c r="G10" s="32"/>
      <c r="H10" s="32"/>
      <c r="I10" s="32"/>
      <c r="J10" s="32"/>
      <c r="K10" s="32"/>
      <c r="L10" s="32"/>
      <c r="M10" s="32"/>
      <c r="N10" s="32"/>
      <c r="O10" s="5"/>
      <c r="P10" s="5"/>
      <c r="Q10" s="5"/>
      <c r="R10" s="5"/>
      <c r="S10" s="5"/>
      <c r="T10" s="5"/>
      <c r="U10" s="5"/>
      <c r="V10" s="5"/>
      <c r="W10" s="5"/>
    </row>
    <row r="11" spans="1:23" ht="15.75" thickBot="1" x14ac:dyDescent="0.3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ht="24.95" customHeight="1" thickBot="1" x14ac:dyDescent="0.3">
      <c r="C12" s="5"/>
      <c r="D12" s="5"/>
      <c r="E12" s="33" t="s">
        <v>0</v>
      </c>
      <c r="F12" s="34"/>
      <c r="G12" s="24" t="s">
        <v>108</v>
      </c>
      <c r="H12" s="25"/>
      <c r="I12" s="42"/>
      <c r="J12" s="33" t="s">
        <v>5</v>
      </c>
      <c r="K12" s="34"/>
      <c r="L12" s="43">
        <v>34894</v>
      </c>
      <c r="M12" s="25"/>
      <c r="N12" s="46"/>
      <c r="O12" s="5"/>
      <c r="P12" s="5"/>
      <c r="Q12" s="5"/>
      <c r="R12" s="5"/>
      <c r="S12" s="5"/>
      <c r="T12" s="5"/>
      <c r="U12" s="5"/>
      <c r="V12" s="5"/>
      <c r="W12" s="5"/>
    </row>
    <row r="13" spans="1:23" ht="15.75" thickBot="1" x14ac:dyDescent="0.3">
      <c r="C13" s="5"/>
      <c r="D13" s="5"/>
      <c r="E13" s="8"/>
      <c r="F13" s="8"/>
      <c r="G13" s="5"/>
      <c r="H13" s="5"/>
      <c r="I13" s="5"/>
      <c r="J13" s="8"/>
      <c r="K13" s="8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ht="24.95" customHeight="1" thickBot="1" x14ac:dyDescent="0.3">
      <c r="A14" s="1" t="s">
        <v>8</v>
      </c>
      <c r="C14" s="5"/>
      <c r="D14" s="5"/>
      <c r="E14" s="33" t="s">
        <v>1</v>
      </c>
      <c r="F14" s="34"/>
      <c r="G14" s="24" t="s">
        <v>109</v>
      </c>
      <c r="H14" s="25"/>
      <c r="I14" s="42"/>
      <c r="J14" s="33" t="s">
        <v>6</v>
      </c>
      <c r="K14" s="34"/>
      <c r="L14" s="24">
        <v>29</v>
      </c>
      <c r="M14" s="25"/>
      <c r="N14" s="46"/>
      <c r="O14" s="5"/>
      <c r="P14" s="5"/>
      <c r="Q14" s="5"/>
      <c r="R14" s="5"/>
      <c r="S14" s="5"/>
      <c r="T14" s="5"/>
      <c r="U14" s="5"/>
      <c r="V14" s="5"/>
      <c r="W14" s="5"/>
    </row>
    <row r="15" spans="1:23" ht="15.75" thickBot="1" x14ac:dyDescent="0.3">
      <c r="A15" s="1" t="s">
        <v>144</v>
      </c>
      <c r="C15" s="5"/>
      <c r="D15" s="5"/>
      <c r="E15" s="8"/>
      <c r="F15" s="8"/>
      <c r="G15" s="5"/>
      <c r="H15" s="5"/>
      <c r="I15" s="5"/>
      <c r="J15" s="8"/>
      <c r="K15" s="8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ht="24.95" customHeight="1" thickBot="1" x14ac:dyDescent="0.3">
      <c r="A16" s="1" t="s">
        <v>145</v>
      </c>
      <c r="C16" s="5"/>
      <c r="D16" s="5"/>
      <c r="E16" s="33" t="s">
        <v>2</v>
      </c>
      <c r="F16" s="34"/>
      <c r="G16" s="24" t="s">
        <v>110</v>
      </c>
      <c r="H16" s="25"/>
      <c r="I16" s="42"/>
      <c r="J16" s="33" t="s">
        <v>7</v>
      </c>
      <c r="K16" s="34"/>
      <c r="L16" s="24" t="s">
        <v>112</v>
      </c>
      <c r="M16" s="25"/>
      <c r="N16" s="46"/>
      <c r="O16" s="5"/>
      <c r="P16" s="5"/>
      <c r="Q16" s="5"/>
      <c r="R16" s="5"/>
      <c r="S16" s="5"/>
      <c r="T16" s="5"/>
      <c r="U16" s="5"/>
      <c r="V16" s="5"/>
      <c r="W16" s="5"/>
    </row>
    <row r="17" spans="1:23" ht="15.75" thickBot="1" x14ac:dyDescent="0.3">
      <c r="C17" s="5"/>
      <c r="D17" s="5"/>
      <c r="E17" s="8"/>
      <c r="F17" s="8"/>
      <c r="G17" s="5"/>
      <c r="H17" s="5"/>
      <c r="I17" s="5"/>
      <c r="J17" s="8"/>
      <c r="K17" s="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ht="24.95" customHeight="1" thickBot="1" x14ac:dyDescent="0.3">
      <c r="C18" s="5"/>
      <c r="D18" s="5"/>
      <c r="E18" s="33" t="s">
        <v>3</v>
      </c>
      <c r="F18" s="34"/>
      <c r="G18" s="24" t="s">
        <v>111</v>
      </c>
      <c r="H18" s="25"/>
      <c r="I18" s="42"/>
      <c r="J18" s="33" t="s">
        <v>8</v>
      </c>
      <c r="K18" s="34"/>
      <c r="L18" s="24" t="s">
        <v>145</v>
      </c>
      <c r="M18" s="25"/>
      <c r="N18" s="46"/>
      <c r="O18" s="5"/>
      <c r="P18" s="5"/>
      <c r="Q18" s="5"/>
      <c r="R18" s="5"/>
      <c r="S18" s="5"/>
      <c r="T18" s="5"/>
      <c r="U18" s="5"/>
      <c r="V18" s="5"/>
      <c r="W18" s="5"/>
    </row>
    <row r="19" spans="1:23" ht="15.75" thickBot="1" x14ac:dyDescent="0.3">
      <c r="A19" s="1" t="s">
        <v>146</v>
      </c>
      <c r="C19" s="5"/>
      <c r="D19" s="5"/>
      <c r="E19" s="8"/>
      <c r="F19" s="8"/>
      <c r="G19" s="5"/>
      <c r="H19" s="5"/>
      <c r="I19" s="5"/>
      <c r="J19" s="8"/>
      <c r="K19" s="8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ht="24.95" customHeight="1" thickBot="1" x14ac:dyDescent="0.3">
      <c r="A20" s="1" t="s">
        <v>149</v>
      </c>
      <c r="C20" s="5"/>
      <c r="D20" s="5"/>
      <c r="E20" s="33" t="s">
        <v>4</v>
      </c>
      <c r="F20" s="34"/>
      <c r="G20" s="24" t="s">
        <v>153</v>
      </c>
      <c r="H20" s="25"/>
      <c r="I20" s="42"/>
      <c r="J20" s="33" t="s">
        <v>9</v>
      </c>
      <c r="K20" s="34"/>
      <c r="L20" s="24" t="s">
        <v>152</v>
      </c>
      <c r="M20" s="25"/>
      <c r="N20" s="46"/>
      <c r="O20" s="5"/>
      <c r="P20" s="5"/>
      <c r="Q20" s="5"/>
      <c r="R20" s="5"/>
      <c r="S20" s="5"/>
      <c r="T20" s="5"/>
      <c r="U20" s="5"/>
      <c r="V20" s="5"/>
      <c r="W20" s="5"/>
    </row>
    <row r="21" spans="1:23" ht="15.75" thickBot="1" x14ac:dyDescent="0.3">
      <c r="A21" s="1" t="s">
        <v>147</v>
      </c>
      <c r="C21" s="5"/>
      <c r="D21" s="5"/>
      <c r="E21" s="5"/>
      <c r="F21" s="5"/>
      <c r="G21" s="5"/>
      <c r="H21" s="5"/>
      <c r="I21" s="5"/>
      <c r="J21" s="8"/>
      <c r="K21" s="8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ht="24.95" customHeight="1" thickBot="1" x14ac:dyDescent="0.3">
      <c r="A22" s="1" t="s">
        <v>148</v>
      </c>
      <c r="C22" s="5"/>
      <c r="D22" s="5"/>
      <c r="E22" s="5"/>
      <c r="F22" s="5"/>
      <c r="G22" s="5"/>
      <c r="H22" s="5"/>
      <c r="I22" s="5"/>
      <c r="J22" s="33" t="s">
        <v>10</v>
      </c>
      <c r="K22" s="34"/>
      <c r="L22" s="24" t="s">
        <v>148</v>
      </c>
      <c r="M22" s="25"/>
      <c r="N22" s="46"/>
      <c r="O22" s="5"/>
      <c r="P22" s="5"/>
      <c r="Q22" s="5"/>
      <c r="R22" s="5"/>
      <c r="S22" s="5"/>
      <c r="T22" s="5"/>
      <c r="U22" s="5"/>
      <c r="V22" s="5"/>
      <c r="W22" s="5"/>
    </row>
    <row r="23" spans="1:23" x14ac:dyDescent="0.25"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25"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ht="21" hidden="1" x14ac:dyDescent="0.35">
      <c r="C25" s="5"/>
      <c r="D25" s="5"/>
      <c r="E25" s="32" t="s">
        <v>53</v>
      </c>
      <c r="F25" s="32"/>
      <c r="G25" s="32"/>
      <c r="H25" s="32"/>
      <c r="I25" s="32"/>
      <c r="J25" s="32"/>
      <c r="K25" s="32"/>
      <c r="L25" s="32"/>
      <c r="M25" s="32"/>
      <c r="N25" s="32"/>
      <c r="O25" s="5"/>
      <c r="P25" s="5"/>
      <c r="Q25" s="5"/>
      <c r="R25" s="5"/>
      <c r="S25" s="5"/>
      <c r="T25" s="5"/>
      <c r="U25" s="5"/>
      <c r="V25" s="5"/>
      <c r="W25" s="5"/>
    </row>
    <row r="26" spans="1:23" ht="15.75" hidden="1" thickBot="1" x14ac:dyDescent="0.3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ht="24.95" hidden="1" customHeight="1" thickBot="1" x14ac:dyDescent="0.3">
      <c r="C27" s="5"/>
      <c r="D27" s="5"/>
      <c r="E27" s="33" t="s">
        <v>11</v>
      </c>
      <c r="F27" s="34"/>
      <c r="G27" s="24" t="s">
        <v>128</v>
      </c>
      <c r="H27" s="25"/>
      <c r="I27" s="42"/>
      <c r="J27" s="33" t="s">
        <v>15</v>
      </c>
      <c r="K27" s="34"/>
      <c r="L27" s="43" t="s">
        <v>125</v>
      </c>
      <c r="M27" s="25"/>
      <c r="N27" s="46"/>
      <c r="O27" s="5"/>
      <c r="P27" s="5"/>
      <c r="Q27" s="5"/>
      <c r="R27" s="5"/>
      <c r="S27" s="5"/>
      <c r="T27" s="5"/>
      <c r="U27" s="5"/>
      <c r="V27" s="5"/>
      <c r="W27" s="5"/>
    </row>
    <row r="28" spans="1:23" ht="15" hidden="1" customHeight="1" thickBot="1" x14ac:dyDescent="0.3">
      <c r="C28" s="5"/>
      <c r="D28" s="5"/>
      <c r="E28" s="9"/>
      <c r="F28" s="8"/>
      <c r="G28" s="7"/>
      <c r="H28" s="7"/>
      <c r="I28" s="7"/>
      <c r="J28" s="6"/>
      <c r="K28" s="6"/>
      <c r="L28" s="7"/>
      <c r="M28" s="7"/>
      <c r="N28" s="7"/>
      <c r="O28" s="5"/>
      <c r="P28" s="5"/>
      <c r="Q28" s="5"/>
      <c r="R28" s="5"/>
      <c r="S28" s="5"/>
      <c r="T28" s="5"/>
      <c r="U28" s="5"/>
      <c r="V28" s="5"/>
      <c r="W28" s="5"/>
    </row>
    <row r="29" spans="1:23" ht="24.95" hidden="1" customHeight="1" thickBot="1" x14ac:dyDescent="0.3">
      <c r="C29" s="5"/>
      <c r="D29" s="5"/>
      <c r="E29" s="33" t="s">
        <v>12</v>
      </c>
      <c r="F29" s="34"/>
      <c r="G29" s="63">
        <v>44126</v>
      </c>
      <c r="H29" s="47"/>
      <c r="I29" s="48"/>
      <c r="J29" s="33" t="s">
        <v>16</v>
      </c>
      <c r="K29" s="34"/>
      <c r="L29" s="43" t="s">
        <v>125</v>
      </c>
      <c r="M29" s="25"/>
      <c r="N29" s="46"/>
      <c r="O29" s="5"/>
      <c r="P29" s="5"/>
      <c r="Q29" s="5"/>
      <c r="R29" s="5"/>
      <c r="S29" s="5"/>
      <c r="T29" s="5"/>
      <c r="U29" s="5"/>
      <c r="V29" s="5"/>
      <c r="W29" s="5"/>
    </row>
    <row r="30" spans="1:23" ht="15" hidden="1" customHeight="1" thickBot="1" x14ac:dyDescent="0.3">
      <c r="C30" s="5"/>
      <c r="D30" s="5"/>
      <c r="E30" s="9"/>
      <c r="F30" s="8"/>
      <c r="G30" s="7"/>
      <c r="H30" s="7"/>
      <c r="I30" s="7"/>
      <c r="J30" s="6"/>
      <c r="K30" s="6"/>
      <c r="L30" s="7"/>
      <c r="M30" s="7"/>
      <c r="N30" s="7"/>
      <c r="O30" s="5"/>
      <c r="P30" s="5"/>
      <c r="Q30" s="5"/>
      <c r="R30" s="5"/>
      <c r="S30" s="5"/>
      <c r="T30" s="5"/>
      <c r="U30" s="5"/>
      <c r="V30" s="5"/>
      <c r="W30" s="5"/>
    </row>
    <row r="31" spans="1:23" ht="24.75" hidden="1" customHeight="1" thickBot="1" x14ac:dyDescent="0.3">
      <c r="C31" s="5"/>
      <c r="D31" s="5"/>
      <c r="E31" s="33" t="s">
        <v>13</v>
      </c>
      <c r="F31" s="34"/>
      <c r="G31" s="63">
        <v>46013</v>
      </c>
      <c r="H31" s="47"/>
      <c r="I31" s="48"/>
      <c r="J31" s="33" t="s">
        <v>17</v>
      </c>
      <c r="K31" s="34"/>
      <c r="L31" s="43" t="s">
        <v>124</v>
      </c>
      <c r="M31" s="25"/>
      <c r="N31" s="46"/>
      <c r="O31" s="5"/>
      <c r="P31" s="5"/>
      <c r="Q31" s="5"/>
      <c r="R31" s="5"/>
      <c r="S31" s="5"/>
      <c r="T31" s="5"/>
      <c r="U31" s="5"/>
      <c r="V31" s="5"/>
      <c r="W31" s="5"/>
    </row>
    <row r="32" spans="1:23" ht="15" hidden="1" customHeight="1" thickBot="1" x14ac:dyDescent="0.3">
      <c r="C32" s="5"/>
      <c r="D32" s="5"/>
      <c r="E32" s="9"/>
      <c r="F32" s="8"/>
      <c r="G32" s="7"/>
      <c r="H32" s="7"/>
      <c r="I32" s="7"/>
      <c r="J32" s="6"/>
      <c r="K32" s="6"/>
      <c r="L32" s="7"/>
      <c r="M32" s="7"/>
      <c r="N32" s="7"/>
      <c r="O32" s="5"/>
      <c r="P32" s="5"/>
      <c r="Q32" s="5"/>
      <c r="R32" s="5"/>
      <c r="S32" s="5"/>
      <c r="T32" s="5"/>
      <c r="U32" s="5"/>
      <c r="V32" s="5"/>
      <c r="W32" s="5"/>
    </row>
    <row r="33" spans="3:23" ht="30" hidden="1" customHeight="1" thickBot="1" x14ac:dyDescent="0.3">
      <c r="C33" s="5"/>
      <c r="D33" s="5"/>
      <c r="E33" s="33" t="s">
        <v>14</v>
      </c>
      <c r="F33" s="34"/>
      <c r="G33" s="44" t="s">
        <v>122</v>
      </c>
      <c r="H33" s="44"/>
      <c r="I33" s="45"/>
      <c r="J33" s="33" t="s">
        <v>18</v>
      </c>
      <c r="K33" s="34"/>
      <c r="L33" s="43" t="s">
        <v>123</v>
      </c>
      <c r="M33" s="25"/>
      <c r="N33" s="46"/>
      <c r="O33" s="5"/>
      <c r="P33" s="5"/>
      <c r="Q33" s="5"/>
      <c r="R33" s="5"/>
      <c r="S33" s="5"/>
      <c r="T33" s="5"/>
      <c r="U33" s="5"/>
      <c r="V33" s="5"/>
      <c r="W33" s="5"/>
    </row>
    <row r="34" spans="3:23" ht="15" hidden="1" customHeight="1" thickBot="1" x14ac:dyDescent="0.3">
      <c r="C34" s="5"/>
      <c r="D34" s="5"/>
      <c r="E34" s="9"/>
      <c r="F34" s="8"/>
      <c r="G34" s="7"/>
      <c r="H34" s="7"/>
      <c r="I34" s="7"/>
      <c r="J34" s="6"/>
      <c r="K34" s="6"/>
      <c r="L34" s="7"/>
      <c r="M34" s="7"/>
      <c r="N34" s="7"/>
      <c r="O34" s="5"/>
      <c r="P34" s="5"/>
      <c r="Q34" s="5"/>
      <c r="R34" s="5"/>
      <c r="S34" s="5"/>
      <c r="T34" s="5"/>
      <c r="U34" s="5"/>
      <c r="V34" s="5"/>
      <c r="W34" s="5"/>
    </row>
    <row r="35" spans="3:23" ht="24.95" hidden="1" customHeight="1" thickBot="1" x14ac:dyDescent="0.3">
      <c r="C35" s="5"/>
      <c r="D35" s="5"/>
      <c r="E35" s="33" t="s">
        <v>20</v>
      </c>
      <c r="F35" s="34"/>
      <c r="G35" s="24" t="s">
        <v>127</v>
      </c>
      <c r="H35" s="25"/>
      <c r="I35" s="42"/>
      <c r="J35" s="33" t="s">
        <v>19</v>
      </c>
      <c r="K35" s="34"/>
      <c r="L35" s="43" t="s">
        <v>126</v>
      </c>
      <c r="M35" s="25"/>
      <c r="N35" s="46"/>
      <c r="O35" s="5"/>
      <c r="P35" s="5"/>
      <c r="Q35" s="5"/>
      <c r="R35" s="5"/>
      <c r="S35" s="5"/>
      <c r="T35" s="5"/>
      <c r="U35" s="5"/>
      <c r="V35" s="5"/>
      <c r="W35" s="5"/>
    </row>
    <row r="36" spans="3:23" hidden="1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3:23" hidden="1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3:23" ht="21" hidden="1" x14ac:dyDescent="0.35">
      <c r="C38" s="5"/>
      <c r="D38" s="5"/>
      <c r="E38" s="32" t="s">
        <v>21</v>
      </c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5"/>
      <c r="R38" s="5"/>
      <c r="S38" s="5"/>
      <c r="T38" s="5"/>
      <c r="U38" s="5"/>
      <c r="V38" s="5"/>
      <c r="W38" s="5"/>
    </row>
    <row r="39" spans="3:23" ht="15.75" hidden="1" thickBot="1" x14ac:dyDescent="0.3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3:23" ht="15.75" hidden="1" thickBot="1" x14ac:dyDescent="0.3">
      <c r="C40" s="5"/>
      <c r="D40" s="5"/>
      <c r="E40" s="6"/>
      <c r="F40" s="5"/>
      <c r="G40" s="59" t="s">
        <v>24</v>
      </c>
      <c r="H40" s="60"/>
      <c r="I40" s="35" t="s">
        <v>25</v>
      </c>
      <c r="J40" s="36"/>
      <c r="K40" s="36"/>
      <c r="L40" s="35" t="s">
        <v>26</v>
      </c>
      <c r="M40" s="36"/>
      <c r="N40" s="36"/>
      <c r="O40" s="35" t="s">
        <v>27</v>
      </c>
      <c r="P40" s="36"/>
      <c r="Q40" s="5"/>
      <c r="R40" s="5"/>
      <c r="S40" s="5"/>
      <c r="T40" s="5"/>
      <c r="U40" s="5"/>
      <c r="V40" s="5"/>
      <c r="W40" s="5"/>
    </row>
    <row r="41" spans="3:23" ht="30" hidden="1" customHeight="1" thickBot="1" x14ac:dyDescent="0.3">
      <c r="C41" s="5"/>
      <c r="D41" s="5"/>
      <c r="E41" s="33" t="s">
        <v>23</v>
      </c>
      <c r="F41" s="34"/>
      <c r="G41" s="55" t="s">
        <v>129</v>
      </c>
      <c r="H41" s="55"/>
      <c r="I41" s="55" t="s">
        <v>130</v>
      </c>
      <c r="J41" s="55"/>
      <c r="K41" s="55"/>
      <c r="L41" s="55" t="s">
        <v>131</v>
      </c>
      <c r="M41" s="55"/>
      <c r="N41" s="55"/>
      <c r="O41" s="56">
        <v>2018</v>
      </c>
      <c r="P41" s="56"/>
      <c r="Q41" s="5"/>
      <c r="R41" s="5"/>
      <c r="S41" s="5"/>
      <c r="T41" s="5"/>
      <c r="U41" s="5"/>
      <c r="V41" s="5"/>
      <c r="W41" s="5"/>
    </row>
    <row r="42" spans="3:23" ht="15" hidden="1" customHeight="1" thickBot="1" x14ac:dyDescent="0.3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3:23" ht="30" hidden="1" customHeight="1" thickBot="1" x14ac:dyDescent="0.3">
      <c r="C43" s="5"/>
      <c r="D43" s="5"/>
      <c r="E43" s="33" t="s">
        <v>28</v>
      </c>
      <c r="F43" s="34"/>
      <c r="G43" s="55" t="s">
        <v>132</v>
      </c>
      <c r="H43" s="55"/>
      <c r="I43" s="55" t="s">
        <v>133</v>
      </c>
      <c r="J43" s="55"/>
      <c r="K43" s="55"/>
      <c r="L43" s="55" t="s">
        <v>134</v>
      </c>
      <c r="M43" s="55"/>
      <c r="N43" s="55"/>
      <c r="O43" s="56">
        <v>2020</v>
      </c>
      <c r="P43" s="56"/>
      <c r="Q43" s="5"/>
      <c r="R43" s="5"/>
      <c r="S43" s="5"/>
      <c r="T43" s="5"/>
      <c r="U43" s="5"/>
      <c r="V43" s="5"/>
      <c r="W43" s="5"/>
    </row>
    <row r="44" spans="3:23" ht="15" hidden="1" customHeight="1" thickBot="1" x14ac:dyDescent="0.3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3:23" ht="30" hidden="1" customHeight="1" thickBot="1" x14ac:dyDescent="0.3">
      <c r="C45" s="5"/>
      <c r="D45" s="5"/>
      <c r="E45" s="33" t="s">
        <v>29</v>
      </c>
      <c r="F45" s="34"/>
      <c r="G45" s="55" t="s">
        <v>135</v>
      </c>
      <c r="H45" s="55"/>
      <c r="I45" s="55" t="s">
        <v>136</v>
      </c>
      <c r="J45" s="55"/>
      <c r="K45" s="55"/>
      <c r="L45" s="55" t="s">
        <v>137</v>
      </c>
      <c r="M45" s="55"/>
      <c r="N45" s="55"/>
      <c r="O45" s="56">
        <v>2026</v>
      </c>
      <c r="P45" s="56"/>
      <c r="Q45" s="5"/>
      <c r="R45" s="5"/>
      <c r="S45" s="5"/>
      <c r="T45" s="5"/>
      <c r="U45" s="5"/>
      <c r="V45" s="5"/>
      <c r="W45" s="5"/>
    </row>
    <row r="46" spans="3:23" ht="15" hidden="1" customHeight="1" thickBot="1" x14ac:dyDescent="0.3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3:23" ht="30" hidden="1" customHeight="1" thickBot="1" x14ac:dyDescent="0.3">
      <c r="C47" s="5"/>
      <c r="D47" s="5"/>
      <c r="E47" s="33" t="s">
        <v>30</v>
      </c>
      <c r="F47" s="34"/>
      <c r="G47" s="55" t="s">
        <v>138</v>
      </c>
      <c r="H47" s="55"/>
      <c r="I47" s="55" t="s">
        <v>139</v>
      </c>
      <c r="J47" s="55"/>
      <c r="K47" s="55"/>
      <c r="L47" s="55" t="s">
        <v>140</v>
      </c>
      <c r="M47" s="55"/>
      <c r="N47" s="55"/>
      <c r="O47" s="56">
        <v>2020</v>
      </c>
      <c r="P47" s="56"/>
      <c r="Q47" s="5"/>
      <c r="R47" s="5"/>
      <c r="S47" s="5"/>
      <c r="T47" s="5"/>
      <c r="U47" s="5"/>
      <c r="V47" s="5"/>
      <c r="W47" s="5"/>
    </row>
    <row r="48" spans="3:23" hidden="1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3:23" ht="21" hidden="1" x14ac:dyDescent="0.35">
      <c r="C49" s="5"/>
      <c r="D49" s="5"/>
      <c r="E49" s="32" t="s">
        <v>31</v>
      </c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5"/>
      <c r="R49" s="5"/>
      <c r="S49" s="5"/>
      <c r="T49" s="5"/>
      <c r="U49" s="5"/>
      <c r="V49" s="5"/>
      <c r="W49" s="5"/>
    </row>
    <row r="50" spans="3:23" ht="15.75" hidden="1" thickBot="1" x14ac:dyDescent="0.3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3:23" ht="24.95" hidden="1" customHeight="1" thickBot="1" x14ac:dyDescent="0.3">
      <c r="C51" s="5"/>
      <c r="D51" s="5"/>
      <c r="E51" s="33" t="s">
        <v>32</v>
      </c>
      <c r="F51" s="34"/>
      <c r="G51" s="24" t="s">
        <v>154</v>
      </c>
      <c r="H51" s="25"/>
      <c r="I51" s="42"/>
      <c r="J51" s="33" t="s">
        <v>33</v>
      </c>
      <c r="K51" s="34"/>
      <c r="L51" s="43">
        <v>37527</v>
      </c>
      <c r="M51" s="25"/>
      <c r="N51" s="11" t="s">
        <v>34</v>
      </c>
      <c r="O51" s="12">
        <f ca="1">IF(L51,DATEDIF(L51, TODAY(), "Y"),"")</f>
        <v>21</v>
      </c>
      <c r="P51" s="11" t="s">
        <v>7</v>
      </c>
      <c r="Q51" s="10" t="s">
        <v>107</v>
      </c>
      <c r="R51" s="5"/>
      <c r="S51" s="5"/>
      <c r="T51" s="5"/>
      <c r="U51" s="5"/>
      <c r="V51" s="5"/>
      <c r="W51" s="5"/>
    </row>
    <row r="52" spans="3:23" hidden="1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3:23" hidden="1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3:23" ht="30" hidden="1" customHeight="1" thickBot="1" x14ac:dyDescent="0.3">
      <c r="C54" s="5"/>
      <c r="D54" s="5"/>
      <c r="E54" s="26" t="s">
        <v>35</v>
      </c>
      <c r="F54" s="27"/>
      <c r="G54" s="27"/>
      <c r="H54" s="29" t="s">
        <v>143</v>
      </c>
      <c r="I54" s="30"/>
      <c r="J54" s="13" t="s">
        <v>34</v>
      </c>
      <c r="K54" s="26" t="s">
        <v>7</v>
      </c>
      <c r="L54" s="27"/>
      <c r="M54" s="5"/>
      <c r="N54" s="6"/>
      <c r="O54" s="5"/>
      <c r="P54" s="6"/>
      <c r="Q54" s="5"/>
      <c r="R54" s="5"/>
      <c r="S54" s="5"/>
      <c r="T54" s="5"/>
      <c r="U54" s="5"/>
      <c r="V54" s="5"/>
      <c r="W54" s="5"/>
    </row>
    <row r="55" spans="3:23" ht="24.95" hidden="1" customHeight="1" thickBot="1" x14ac:dyDescent="0.3">
      <c r="C55" s="5"/>
      <c r="D55" s="5"/>
      <c r="E55" s="66" t="s">
        <v>142</v>
      </c>
      <c r="F55" s="66"/>
      <c r="G55" s="66"/>
      <c r="H55" s="28">
        <v>37549</v>
      </c>
      <c r="I55" s="28"/>
      <c r="J55" s="14">
        <f ca="1">IF(H55,DATEDIF(H55, TODAY(), "Y"),"")</f>
        <v>21</v>
      </c>
      <c r="K55" s="31" t="s">
        <v>112</v>
      </c>
      <c r="L55" s="3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3:23" ht="24.95" hidden="1" customHeight="1" thickBot="1" x14ac:dyDescent="0.3">
      <c r="C56" s="5"/>
      <c r="D56" s="5"/>
      <c r="E56" s="31" t="s">
        <v>155</v>
      </c>
      <c r="F56" s="31"/>
      <c r="G56" s="31"/>
      <c r="H56" s="28">
        <v>29194</v>
      </c>
      <c r="I56" s="28"/>
      <c r="J56" s="14">
        <f ca="1">IF(H56,DATEDIF(H56, TODAY(), "Y"),"")</f>
        <v>44</v>
      </c>
      <c r="K56" s="31" t="s">
        <v>112</v>
      </c>
      <c r="L56" s="3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3:23" ht="24.95" hidden="1" customHeight="1" thickBot="1" x14ac:dyDescent="0.3">
      <c r="C57" s="5"/>
      <c r="D57" s="5"/>
      <c r="E57" s="31" t="s">
        <v>156</v>
      </c>
      <c r="F57" s="31"/>
      <c r="G57" s="31"/>
      <c r="H57" s="28">
        <v>44301</v>
      </c>
      <c r="I57" s="28"/>
      <c r="J57" s="14">
        <f t="shared" ref="J57:J60" ca="1" si="0">IF(H57,DATEDIF(H57, TODAY(), "Y"),"")</f>
        <v>3</v>
      </c>
      <c r="K57" s="31" t="s">
        <v>107</v>
      </c>
      <c r="L57" s="31"/>
      <c r="M57" s="5"/>
      <c r="N57" s="5"/>
      <c r="O57" s="5"/>
      <c r="P57" s="19"/>
      <c r="Q57" s="5"/>
      <c r="R57" s="5"/>
      <c r="S57" s="5"/>
      <c r="T57" s="5"/>
      <c r="U57" s="5"/>
      <c r="V57" s="5"/>
      <c r="W57" s="5"/>
    </row>
    <row r="58" spans="3:23" ht="24.95" hidden="1" customHeight="1" thickBot="1" x14ac:dyDescent="0.3">
      <c r="C58" s="5"/>
      <c r="D58" s="5"/>
      <c r="E58" s="31"/>
      <c r="F58" s="31"/>
      <c r="G58" s="31"/>
      <c r="H58" s="28"/>
      <c r="I58" s="28"/>
      <c r="J58" s="14" t="str">
        <f t="shared" ca="1" si="0"/>
        <v/>
      </c>
      <c r="K58" s="31"/>
      <c r="L58" s="3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3:23" ht="24.95" hidden="1" customHeight="1" thickBot="1" x14ac:dyDescent="0.3">
      <c r="C59" s="5"/>
      <c r="D59" s="5"/>
      <c r="E59" s="51"/>
      <c r="F59" s="52"/>
      <c r="G59" s="53"/>
      <c r="H59" s="28"/>
      <c r="I59" s="28"/>
      <c r="J59" s="14" t="str">
        <f t="shared" ca="1" si="0"/>
        <v/>
      </c>
      <c r="K59" s="31"/>
      <c r="L59" s="3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3:23" ht="24.95" hidden="1" customHeight="1" thickBot="1" x14ac:dyDescent="0.3">
      <c r="C60" s="5"/>
      <c r="D60" s="5"/>
      <c r="E60" s="31"/>
      <c r="F60" s="31"/>
      <c r="G60" s="31"/>
      <c r="H60" s="28"/>
      <c r="I60" s="28"/>
      <c r="J60" s="14" t="str">
        <f t="shared" ca="1" si="0"/>
        <v/>
      </c>
      <c r="K60" s="31"/>
      <c r="L60" s="3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3:23" hidden="1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3:23" ht="15.75" hidden="1" thickBot="1" x14ac:dyDescent="0.3">
      <c r="C62" s="5"/>
      <c r="D62" s="5"/>
      <c r="E62" s="54" t="s">
        <v>36</v>
      </c>
      <c r="F62" s="54"/>
      <c r="G62" s="54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3:23" ht="24.95" hidden="1" customHeight="1" thickBot="1" x14ac:dyDescent="0.3">
      <c r="C63" s="5"/>
      <c r="D63" s="5"/>
      <c r="E63" s="17" t="s">
        <v>37</v>
      </c>
      <c r="F63" s="24" t="s">
        <v>157</v>
      </c>
      <c r="G63" s="25"/>
      <c r="H63" s="42"/>
      <c r="I63" s="17" t="s">
        <v>38</v>
      </c>
      <c r="J63" s="53" t="s">
        <v>158</v>
      </c>
      <c r="K63" s="31"/>
      <c r="L63" s="51"/>
      <c r="M63" s="17" t="s">
        <v>39</v>
      </c>
      <c r="N63" s="57">
        <v>78915050</v>
      </c>
      <c r="O63" s="58"/>
      <c r="P63" s="7"/>
      <c r="Q63" s="7"/>
      <c r="R63" s="5"/>
      <c r="S63" s="5"/>
      <c r="T63" s="5"/>
      <c r="U63" s="5"/>
      <c r="V63" s="5"/>
      <c r="W63" s="5"/>
    </row>
    <row r="64" spans="3:23" hidden="1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3:23" hidden="1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3:23" ht="21" hidden="1" x14ac:dyDescent="0.35">
      <c r="C66" s="5"/>
      <c r="D66" s="5"/>
      <c r="E66" s="32" t="s">
        <v>40</v>
      </c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5"/>
      <c r="R66" s="5"/>
      <c r="S66" s="5"/>
      <c r="T66" s="5"/>
      <c r="U66" s="5"/>
      <c r="V66" s="5"/>
      <c r="W66" s="5"/>
    </row>
    <row r="67" spans="3:23" hidden="1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3:23" ht="30" hidden="1" customHeight="1" thickBot="1" x14ac:dyDescent="0.3">
      <c r="C68" s="5"/>
      <c r="D68" s="5"/>
      <c r="E68" s="26" t="s">
        <v>41</v>
      </c>
      <c r="F68" s="27"/>
      <c r="G68" s="27"/>
      <c r="H68" s="20" t="s">
        <v>143</v>
      </c>
      <c r="I68" s="21"/>
      <c r="J68" s="26" t="s">
        <v>38</v>
      </c>
      <c r="K68" s="27"/>
      <c r="L68" s="16" t="s">
        <v>42</v>
      </c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3:23" ht="24.95" hidden="1" customHeight="1" thickBot="1" x14ac:dyDescent="0.3">
      <c r="C69" s="5"/>
      <c r="D69" s="5"/>
      <c r="E69" s="56" t="s">
        <v>142</v>
      </c>
      <c r="F69" s="56"/>
      <c r="G69" s="56"/>
      <c r="H69" s="67">
        <v>37549</v>
      </c>
      <c r="I69" s="23"/>
      <c r="J69" s="22" t="s">
        <v>159</v>
      </c>
      <c r="K69" s="23"/>
      <c r="L69" s="68">
        <v>0.25</v>
      </c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3:23" ht="24.95" hidden="1" customHeight="1" thickBot="1" x14ac:dyDescent="0.3">
      <c r="C70" s="5"/>
      <c r="D70" s="5"/>
      <c r="E70" s="56" t="s">
        <v>155</v>
      </c>
      <c r="F70" s="56"/>
      <c r="G70" s="56"/>
      <c r="H70" s="67">
        <v>29194</v>
      </c>
      <c r="I70" s="23"/>
      <c r="J70" s="22" t="s">
        <v>159</v>
      </c>
      <c r="K70" s="23"/>
      <c r="L70" s="68">
        <v>0.25</v>
      </c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3:23" ht="24.95" hidden="1" customHeight="1" thickBot="1" x14ac:dyDescent="0.3">
      <c r="C71" s="5"/>
      <c r="D71" s="5"/>
      <c r="E71" s="56" t="s">
        <v>156</v>
      </c>
      <c r="F71" s="56"/>
      <c r="G71" s="56"/>
      <c r="H71" s="67">
        <v>44301</v>
      </c>
      <c r="I71" s="23"/>
      <c r="J71" s="22" t="s">
        <v>159</v>
      </c>
      <c r="K71" s="23"/>
      <c r="L71" s="68">
        <v>0.5</v>
      </c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3:23" hidden="1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3:23" hidden="1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3:23" hidden="1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3:23" hidden="1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3:23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3:23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3:23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3:23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25">
      <c r="C81" s="5"/>
      <c r="D81" s="5"/>
      <c r="E81" s="6" t="s">
        <v>150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25">
      <c r="C82" s="5"/>
      <c r="D82" s="5"/>
      <c r="E82" s="5" t="s">
        <v>151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3:23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3:23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3:23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3:23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3:23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3:23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3:23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3:23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3:23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3:23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3:23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</sheetData>
  <mergeCells count="121">
    <mergeCell ref="J68:K68"/>
    <mergeCell ref="O40:P40"/>
    <mergeCell ref="I47:K47"/>
    <mergeCell ref="J69:K69"/>
    <mergeCell ref="G40:H40"/>
    <mergeCell ref="I40:K40"/>
    <mergeCell ref="O41:P41"/>
    <mergeCell ref="O43:P43"/>
    <mergeCell ref="O45:P45"/>
    <mergeCell ref="O47:P47"/>
    <mergeCell ref="L47:N47"/>
    <mergeCell ref="I41:K41"/>
    <mergeCell ref="I43:K43"/>
    <mergeCell ref="I45:K45"/>
    <mergeCell ref="L41:N41"/>
    <mergeCell ref="L43:N43"/>
    <mergeCell ref="G20:I20"/>
    <mergeCell ref="L12:N12"/>
    <mergeCell ref="L14:N14"/>
    <mergeCell ref="L16:N16"/>
    <mergeCell ref="L18:N18"/>
    <mergeCell ref="L20:N20"/>
    <mergeCell ref="J16:K16"/>
    <mergeCell ref="J18:K18"/>
    <mergeCell ref="J20:K20"/>
    <mergeCell ref="A1:B1"/>
    <mergeCell ref="F63:H63"/>
    <mergeCell ref="E8:F8"/>
    <mergeCell ref="H8:I8"/>
    <mergeCell ref="J8:K8"/>
    <mergeCell ref="G12:I12"/>
    <mergeCell ref="G14:I14"/>
    <mergeCell ref="G16:I16"/>
    <mergeCell ref="G18:I18"/>
    <mergeCell ref="E12:F12"/>
    <mergeCell ref="E14:F14"/>
    <mergeCell ref="E16:F16"/>
    <mergeCell ref="E55:G55"/>
    <mergeCell ref="E56:G56"/>
    <mergeCell ref="E57:G57"/>
    <mergeCell ref="E58:G58"/>
    <mergeCell ref="E60:G60"/>
    <mergeCell ref="H59:I59"/>
    <mergeCell ref="H60:I60"/>
    <mergeCell ref="K57:L57"/>
    <mergeCell ref="K58:L58"/>
    <mergeCell ref="K59:L59"/>
    <mergeCell ref="K60:L60"/>
    <mergeCell ref="E59:G59"/>
    <mergeCell ref="C3:N4"/>
    <mergeCell ref="J12:K12"/>
    <mergeCell ref="J14:K14"/>
    <mergeCell ref="L8:M8"/>
    <mergeCell ref="E49:P49"/>
    <mergeCell ref="E5:F5"/>
    <mergeCell ref="G5:H5"/>
    <mergeCell ref="G51:I51"/>
    <mergeCell ref="L51:M51"/>
    <mergeCell ref="G33:I33"/>
    <mergeCell ref="G35:I35"/>
    <mergeCell ref="L35:N35"/>
    <mergeCell ref="L33:N33"/>
    <mergeCell ref="L31:N31"/>
    <mergeCell ref="E10:N10"/>
    <mergeCell ref="E25:N25"/>
    <mergeCell ref="G27:I27"/>
    <mergeCell ref="G29:I29"/>
    <mergeCell ref="G31:I31"/>
    <mergeCell ref="L29:N29"/>
    <mergeCell ref="L27:N27"/>
    <mergeCell ref="L22:N22"/>
    <mergeCell ref="E18:F18"/>
    <mergeCell ref="E20:F20"/>
    <mergeCell ref="E35:F35"/>
    <mergeCell ref="J27:K27"/>
    <mergeCell ref="J29:K29"/>
    <mergeCell ref="J31:K31"/>
    <mergeCell ref="J33:K33"/>
    <mergeCell ref="J35:K35"/>
    <mergeCell ref="J22:K22"/>
    <mergeCell ref="E27:F27"/>
    <mergeCell ref="E29:F29"/>
    <mergeCell ref="E31:F31"/>
    <mergeCell ref="E33:F33"/>
    <mergeCell ref="E38:P38"/>
    <mergeCell ref="E41:F41"/>
    <mergeCell ref="E43:F43"/>
    <mergeCell ref="E45:F45"/>
    <mergeCell ref="E47:F47"/>
    <mergeCell ref="L40:N40"/>
    <mergeCell ref="E51:F51"/>
    <mergeCell ref="J51:K51"/>
    <mergeCell ref="H57:I57"/>
    <mergeCell ref="L45:N45"/>
    <mergeCell ref="G41:H41"/>
    <mergeCell ref="G43:H43"/>
    <mergeCell ref="G45:H45"/>
    <mergeCell ref="G47:H47"/>
    <mergeCell ref="H68:I68"/>
    <mergeCell ref="H69:I69"/>
    <mergeCell ref="H70:I70"/>
    <mergeCell ref="H71:I71"/>
    <mergeCell ref="J70:K70"/>
    <mergeCell ref="J71:K71"/>
    <mergeCell ref="E54:G54"/>
    <mergeCell ref="H55:I55"/>
    <mergeCell ref="H56:I56"/>
    <mergeCell ref="H54:I54"/>
    <mergeCell ref="K55:L55"/>
    <mergeCell ref="K56:L56"/>
    <mergeCell ref="K54:L54"/>
    <mergeCell ref="E66:N66"/>
    <mergeCell ref="O66:P66"/>
    <mergeCell ref="H58:I58"/>
    <mergeCell ref="E62:G62"/>
    <mergeCell ref="J63:L63"/>
    <mergeCell ref="E69:G69"/>
    <mergeCell ref="E70:G70"/>
    <mergeCell ref="E71:G71"/>
    <mergeCell ref="N63:O63"/>
    <mergeCell ref="E68:G68"/>
  </mergeCells>
  <conditionalFormatting sqref="E8:M8">
    <cfRule type="expression" dxfId="0" priority="1">
      <formula>$B$2=COLUMN()</formula>
    </cfRule>
  </conditionalFormatting>
  <dataValidations count="2">
    <dataValidation type="list" allowBlank="1" showInputMessage="1" showErrorMessage="1" sqref="L18:N18" xr:uid="{992F2E90-D383-465F-BDB3-934345A9FC27}">
      <formula1>$A$15:$A$16</formula1>
    </dataValidation>
    <dataValidation type="list" allowBlank="1" showInputMessage="1" showErrorMessage="1" sqref="L22:N22" xr:uid="{F072ABA1-016C-4936-87FE-0C5E2D7488E8}">
      <formula1>$A$20:$A$22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Employee">
                <anchor moveWithCells="1" sizeWithCells="1">
                  <from>
                    <xdr:col>13</xdr:col>
                    <xdr:colOff>638175</xdr:colOff>
                    <xdr:row>6</xdr:row>
                    <xdr:rowOff>95250</xdr:rowOff>
                  </from>
                  <to>
                    <xdr:col>14</xdr:col>
                    <xdr:colOff>438150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eckInputsFilled">
                <anchor moveWithCells="1" sizeWithCells="1">
                  <from>
                    <xdr:col>14</xdr:col>
                    <xdr:colOff>638175</xdr:colOff>
                    <xdr:row>9</xdr:row>
                    <xdr:rowOff>95250</xdr:rowOff>
                  </from>
                  <to>
                    <xdr:col>15</xdr:col>
                    <xdr:colOff>142875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heckInputsFilled">
                <anchor moveWithCells="1" sizeWithCells="1">
                  <from>
                    <xdr:col>14</xdr:col>
                    <xdr:colOff>561975</xdr:colOff>
                    <xdr:row>25</xdr:row>
                    <xdr:rowOff>152400</xdr:rowOff>
                  </from>
                  <to>
                    <xdr:col>15</xdr:col>
                    <xdr:colOff>57150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88446-40AF-4021-A6FA-11EA5DC4BF45}">
  <sheetPr codeName="Sheet2">
    <tabColor theme="6" tint="0.39997558519241921"/>
  </sheetPr>
  <dimension ref="A1:AX17"/>
  <sheetViews>
    <sheetView tabSelected="1" zoomScale="80" zoomScaleNormal="80" workbookViewId="0">
      <selection activeCell="A7" sqref="A7"/>
    </sheetView>
  </sheetViews>
  <sheetFormatPr defaultRowHeight="15" x14ac:dyDescent="0.25"/>
  <cols>
    <col min="1" max="1" width="15.7109375" bestFit="1" customWidth="1"/>
    <col min="2" max="2" width="19.85546875" customWidth="1"/>
    <col min="3" max="3" width="19.28515625" bestFit="1" customWidth="1"/>
    <col min="4" max="4" width="8.140625" bestFit="1" customWidth="1"/>
    <col min="5" max="5" width="8.85546875" bestFit="1" customWidth="1"/>
    <col min="6" max="6" width="12.85546875" customWidth="1"/>
    <col min="7" max="7" width="21.7109375" customWidth="1"/>
    <col min="8" max="8" width="7.5703125" customWidth="1"/>
    <col min="9" max="9" width="9.85546875" customWidth="1"/>
    <col min="10" max="10" width="14.85546875" customWidth="1"/>
    <col min="11" max="11" width="21.28515625" customWidth="1"/>
    <col min="12" max="13" width="27" customWidth="1"/>
    <col min="14" max="14" width="16.85546875" customWidth="1"/>
    <col min="15" max="15" width="21.5703125" customWidth="1"/>
    <col min="16" max="16" width="23" customWidth="1"/>
    <col min="17" max="17" width="17.85546875" customWidth="1"/>
    <col min="18" max="18" width="19.28515625" customWidth="1"/>
    <col min="19" max="19" width="23.5703125" customWidth="1"/>
    <col min="20" max="20" width="27.7109375" customWidth="1"/>
    <col min="21" max="21" width="21.42578125" customWidth="1"/>
    <col min="22" max="28" width="26.42578125" customWidth="1"/>
    <col min="29" max="29" width="21.140625" customWidth="1"/>
    <col min="30" max="34" width="22.85546875" customWidth="1"/>
    <col min="35" max="35" width="25.28515625" customWidth="1"/>
    <col min="36" max="46" width="22.85546875" customWidth="1"/>
    <col min="47" max="47" width="15" customWidth="1"/>
    <col min="48" max="48" width="24.42578125" customWidth="1"/>
    <col min="49" max="49" width="21.7109375" customWidth="1"/>
    <col min="50" max="50" width="13.140625" customWidth="1"/>
    <col min="51" max="51" width="12.85546875" customWidth="1"/>
  </cols>
  <sheetData>
    <row r="1" spans="1:50" x14ac:dyDescent="0.25">
      <c r="A1">
        <v>3</v>
      </c>
    </row>
    <row r="5" spans="1:50" x14ac:dyDescent="0.25">
      <c r="B5" t="s">
        <v>64</v>
      </c>
      <c r="C5" t="s">
        <v>65</v>
      </c>
      <c r="D5" t="s">
        <v>66</v>
      </c>
      <c r="E5" t="s">
        <v>67</v>
      </c>
      <c r="F5" t="s">
        <v>68</v>
      </c>
      <c r="G5" t="s">
        <v>69</v>
      </c>
      <c r="H5" t="s">
        <v>70</v>
      </c>
      <c r="I5" t="s">
        <v>71</v>
      </c>
      <c r="J5" t="s">
        <v>72</v>
      </c>
      <c r="K5" t="s">
        <v>73</v>
      </c>
      <c r="L5" t="s">
        <v>74</v>
      </c>
      <c r="N5" t="s">
        <v>75</v>
      </c>
      <c r="O5" t="s">
        <v>76</v>
      </c>
      <c r="P5" t="s">
        <v>77</v>
      </c>
      <c r="Q5" t="s">
        <v>78</v>
      </c>
      <c r="R5" t="s">
        <v>79</v>
      </c>
      <c r="S5" t="s">
        <v>80</v>
      </c>
      <c r="T5" t="s">
        <v>81</v>
      </c>
      <c r="U5" t="s">
        <v>82</v>
      </c>
      <c r="V5" t="s">
        <v>83</v>
      </c>
      <c r="AC5" t="s">
        <v>84</v>
      </c>
      <c r="AO5" t="s">
        <v>85</v>
      </c>
    </row>
    <row r="6" spans="1:50" ht="21" x14ac:dyDescent="0.35">
      <c r="A6" s="61" t="s">
        <v>89</v>
      </c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D6" s="61" t="s">
        <v>90</v>
      </c>
      <c r="AE6" s="61"/>
      <c r="AF6" s="61"/>
      <c r="AG6" s="61"/>
      <c r="AH6" s="61"/>
      <c r="AI6" s="61"/>
      <c r="AJ6" s="61"/>
      <c r="AL6" s="61" t="s">
        <v>91</v>
      </c>
      <c r="AM6" s="61"/>
      <c r="AN6" s="61"/>
      <c r="AO6" s="61"/>
      <c r="AP6" s="61"/>
      <c r="AQ6" s="61"/>
      <c r="AS6" s="61" t="s">
        <v>92</v>
      </c>
      <c r="AT6" s="61"/>
      <c r="AU6" s="61"/>
      <c r="AV6" s="61"/>
      <c r="AW6" s="61"/>
      <c r="AX6" s="61"/>
    </row>
    <row r="7" spans="1:50" x14ac:dyDescent="0.25">
      <c r="A7" s="70" t="s">
        <v>57</v>
      </c>
      <c r="B7" s="71" t="s">
        <v>0</v>
      </c>
      <c r="C7" s="71" t="s">
        <v>1</v>
      </c>
      <c r="D7" s="71" t="s">
        <v>2</v>
      </c>
      <c r="E7" s="71" t="s">
        <v>3</v>
      </c>
      <c r="F7" s="71" t="s">
        <v>4</v>
      </c>
      <c r="G7" s="71" t="s">
        <v>5</v>
      </c>
      <c r="H7" s="71" t="s">
        <v>34</v>
      </c>
      <c r="I7" s="71" t="s">
        <v>7</v>
      </c>
      <c r="J7" s="71" t="s">
        <v>8</v>
      </c>
      <c r="K7" s="71" t="s">
        <v>56</v>
      </c>
      <c r="L7" s="71" t="s">
        <v>10</v>
      </c>
      <c r="M7" s="71" t="s">
        <v>11</v>
      </c>
      <c r="N7" s="71" t="s">
        <v>12</v>
      </c>
      <c r="O7" s="71" t="s">
        <v>13</v>
      </c>
      <c r="P7" s="71" t="s">
        <v>14</v>
      </c>
      <c r="Q7" s="71" t="s">
        <v>20</v>
      </c>
      <c r="R7" s="71" t="s">
        <v>15</v>
      </c>
      <c r="S7" s="71" t="s">
        <v>16</v>
      </c>
      <c r="T7" s="71" t="s">
        <v>17</v>
      </c>
      <c r="U7" s="71" t="s">
        <v>18</v>
      </c>
      <c r="V7" s="71" t="s">
        <v>19</v>
      </c>
      <c r="W7" s="71" t="s">
        <v>32</v>
      </c>
      <c r="X7" s="71" t="s">
        <v>87</v>
      </c>
      <c r="Y7" s="71" t="s">
        <v>86</v>
      </c>
      <c r="Z7" s="72" t="s">
        <v>88</v>
      </c>
      <c r="AD7" t="s">
        <v>63</v>
      </c>
      <c r="AE7" t="s">
        <v>57</v>
      </c>
      <c r="AF7" t="s">
        <v>22</v>
      </c>
      <c r="AG7" t="s">
        <v>24</v>
      </c>
      <c r="AH7" t="s">
        <v>25</v>
      </c>
      <c r="AI7" t="s">
        <v>26</v>
      </c>
      <c r="AJ7" t="s">
        <v>58</v>
      </c>
      <c r="AL7" t="s">
        <v>62</v>
      </c>
      <c r="AM7" t="s">
        <v>57</v>
      </c>
      <c r="AN7" t="s">
        <v>59</v>
      </c>
      <c r="AO7" t="s">
        <v>33</v>
      </c>
      <c r="AP7" t="s">
        <v>34</v>
      </c>
      <c r="AQ7" t="s">
        <v>7</v>
      </c>
      <c r="AS7" t="s">
        <v>61</v>
      </c>
      <c r="AT7" t="s">
        <v>57</v>
      </c>
      <c r="AU7" t="s">
        <v>60</v>
      </c>
      <c r="AV7" t="s">
        <v>5</v>
      </c>
      <c r="AW7" t="s">
        <v>38</v>
      </c>
      <c r="AX7" t="s">
        <v>42</v>
      </c>
    </row>
    <row r="8" spans="1:50" x14ac:dyDescent="0.25">
      <c r="A8" s="73">
        <v>1</v>
      </c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5"/>
    </row>
    <row r="9" spans="1:50" x14ac:dyDescent="0.25">
      <c r="A9" s="76">
        <v>2</v>
      </c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8"/>
    </row>
    <row r="10" spans="1:50" x14ac:dyDescent="0.25">
      <c r="A10" s="73">
        <v>3</v>
      </c>
      <c r="B10" s="74" t="s">
        <v>93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5"/>
    </row>
    <row r="11" spans="1:50" x14ac:dyDescent="0.25">
      <c r="A11" s="76">
        <v>4</v>
      </c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8"/>
    </row>
    <row r="12" spans="1:50" x14ac:dyDescent="0.25">
      <c r="A12" s="73">
        <v>5</v>
      </c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5"/>
    </row>
    <row r="13" spans="1:50" x14ac:dyDescent="0.25">
      <c r="A13" s="64">
        <v>6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9"/>
    </row>
    <row r="16" spans="1:50" x14ac:dyDescent="0.25">
      <c r="F16" t="s">
        <v>94</v>
      </c>
    </row>
    <row r="17" spans="2:3" x14ac:dyDescent="0.25">
      <c r="B17">
        <f>MATCH(A1,EMPLEADOS!$A$8:$A$13,0) + 7</f>
        <v>10</v>
      </c>
      <c r="C17" t="str">
        <f>INDEX(EMPLEADOS!$B$8:$B$13,MATCH(A1,EMPLEADOS!$A$8:$A$13,0))</f>
        <v>JOSE LUIS MARTINEZ</v>
      </c>
    </row>
  </sheetData>
  <mergeCells count="4">
    <mergeCell ref="A6:Z6"/>
    <mergeCell ref="AD6:AJ6"/>
    <mergeCell ref="AL6:AQ6"/>
    <mergeCell ref="AS6:AX6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AF624-4F27-4394-97DC-A426751F9C5A}">
  <sheetPr codeName="Datos">
    <tabColor theme="8" tint="0.39997558519241921"/>
  </sheetPr>
  <dimension ref="A4:H10"/>
  <sheetViews>
    <sheetView workbookViewId="0">
      <selection activeCell="A13" sqref="A13"/>
    </sheetView>
  </sheetViews>
  <sheetFormatPr defaultRowHeight="15" x14ac:dyDescent="0.25"/>
  <cols>
    <col min="1" max="1" width="5.28515625" bestFit="1" customWidth="1"/>
    <col min="2" max="2" width="27.42578125" customWidth="1"/>
    <col min="3" max="3" width="22.140625" customWidth="1"/>
    <col min="4" max="4" width="16.28515625" customWidth="1"/>
    <col min="5" max="5" width="13.28515625" customWidth="1"/>
    <col min="6" max="6" width="25" bestFit="1" customWidth="1"/>
    <col min="7" max="7" width="12.85546875" customWidth="1"/>
    <col min="8" max="8" width="11.140625" bestFit="1" customWidth="1"/>
  </cols>
  <sheetData>
    <row r="4" spans="1:8" ht="15.75" thickBot="1" x14ac:dyDescent="0.3">
      <c r="A4" t="s">
        <v>55</v>
      </c>
      <c r="B4" t="s">
        <v>95</v>
      </c>
      <c r="C4" t="s">
        <v>97</v>
      </c>
      <c r="D4" t="s">
        <v>98</v>
      </c>
      <c r="E4" t="s">
        <v>99</v>
      </c>
      <c r="F4" t="s">
        <v>100</v>
      </c>
      <c r="G4" t="s">
        <v>101</v>
      </c>
      <c r="H4" t="s">
        <v>102</v>
      </c>
    </row>
    <row r="5" spans="1:8" ht="27" thickBot="1" x14ac:dyDescent="0.3">
      <c r="A5" s="2">
        <v>1</v>
      </c>
      <c r="B5" s="3" t="s">
        <v>103</v>
      </c>
      <c r="C5" s="3" t="s">
        <v>104</v>
      </c>
      <c r="D5" s="3" t="s">
        <v>105</v>
      </c>
      <c r="E5" s="3" t="s">
        <v>106</v>
      </c>
      <c r="F5" s="4">
        <v>36526</v>
      </c>
      <c r="G5" s="2">
        <v>24</v>
      </c>
      <c r="H5" s="3" t="s">
        <v>107</v>
      </c>
    </row>
    <row r="6" spans="1:8" ht="15.75" thickBot="1" x14ac:dyDescent="0.3">
      <c r="A6" s="2">
        <v>2</v>
      </c>
      <c r="B6" s="3" t="s">
        <v>108</v>
      </c>
      <c r="C6" s="3" t="s">
        <v>109</v>
      </c>
      <c r="D6" s="3" t="s">
        <v>110</v>
      </c>
      <c r="E6" s="3" t="s">
        <v>111</v>
      </c>
      <c r="F6" s="4">
        <v>34894</v>
      </c>
      <c r="G6" s="2">
        <v>29</v>
      </c>
      <c r="H6" s="3" t="s">
        <v>112</v>
      </c>
    </row>
    <row r="7" spans="1:8" ht="15.75" thickBot="1" x14ac:dyDescent="0.3">
      <c r="A7" s="2">
        <v>3</v>
      </c>
      <c r="B7" s="3" t="s">
        <v>113</v>
      </c>
      <c r="C7" s="3" t="s">
        <v>114</v>
      </c>
      <c r="D7" s="3" t="s">
        <v>115</v>
      </c>
      <c r="E7" s="3" t="s">
        <v>106</v>
      </c>
      <c r="F7" s="4">
        <v>35859</v>
      </c>
      <c r="G7" s="2">
        <v>26</v>
      </c>
      <c r="H7" s="3" t="s">
        <v>107</v>
      </c>
    </row>
    <row r="8" spans="1:8" ht="15.75" thickBot="1" x14ac:dyDescent="0.3">
      <c r="A8" s="2">
        <v>4</v>
      </c>
      <c r="B8" s="3" t="s">
        <v>116</v>
      </c>
      <c r="C8" s="3" t="s">
        <v>117</v>
      </c>
      <c r="D8" s="3" t="s">
        <v>118</v>
      </c>
      <c r="E8" s="3" t="s">
        <v>111</v>
      </c>
      <c r="F8" s="4">
        <v>37583</v>
      </c>
      <c r="G8" s="2">
        <v>21</v>
      </c>
      <c r="H8" s="3" t="s">
        <v>112</v>
      </c>
    </row>
    <row r="9" spans="1:8" ht="27" thickBot="1" x14ac:dyDescent="0.3">
      <c r="A9" s="2">
        <v>5</v>
      </c>
      <c r="B9" s="3" t="s">
        <v>119</v>
      </c>
      <c r="C9" s="3" t="s">
        <v>120</v>
      </c>
      <c r="D9" s="3" t="s">
        <v>121</v>
      </c>
      <c r="E9" s="3" t="s">
        <v>106</v>
      </c>
      <c r="F9" s="4">
        <v>32640</v>
      </c>
      <c r="G9" s="2">
        <v>35</v>
      </c>
      <c r="H9" s="3" t="s">
        <v>107</v>
      </c>
    </row>
    <row r="10" spans="1:8" x14ac:dyDescent="0.25">
      <c r="A10">
        <v>6</v>
      </c>
      <c r="B10" t="s">
        <v>96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FORMULARIO</vt:lpstr>
      <vt:lpstr>EMPLEADOS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MARLON ERNESTO LOPEZ FLORES</dc:creator>
  <cp:lastModifiedBy>MARLON ERNESTO LOPEZ FLORES</cp:lastModifiedBy>
  <dcterms:created xsi:type="dcterms:W3CDTF">2024-06-15T21:36:06Z</dcterms:created>
  <dcterms:modified xsi:type="dcterms:W3CDTF">2024-06-20T03:37:08Z</dcterms:modified>
</cp:coreProperties>
</file>