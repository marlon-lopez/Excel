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lon\Documents\"/>
    </mc:Choice>
  </mc:AlternateContent>
  <xr:revisionPtr revIDLastSave="0" documentId="13_ncr:1_{04D208E7-9AD2-4833-9139-9485AB8C36AD}" xr6:coauthVersionLast="47" xr6:coauthVersionMax="47" xr10:uidLastSave="{00000000-0000-0000-0000-000000000000}"/>
  <bookViews>
    <workbookView xWindow="-120" yWindow="-120" windowWidth="19440" windowHeight="15000" xr2:uid="{3103DA26-C7F4-4BAF-860A-F1D9A00FB7B2}"/>
  </bookViews>
  <sheets>
    <sheet name="FORMULARIO" sheetId="1" r:id="rId1"/>
    <sheet name="FORMATO" sheetId="5" r:id="rId2"/>
    <sheet name="EMPLEADOS" sheetId="3" r:id="rId3"/>
    <sheet name="DATOS" sheetId="4" r:id="rId4"/>
  </sheets>
  <functionGroups builtInGroupCount="19"/>
  <definedNames>
    <definedName name="Empl_ID">OFFSET(EMPLEADOS!$A$7,1,,COUNTA(EMPLEADOS!$A$7:$A$9999)-1,1)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5" l="1"/>
  <c r="B5" i="1"/>
  <c r="O51" i="1"/>
  <c r="J55" i="1"/>
  <c r="J57" i="1"/>
  <c r="J58" i="1"/>
  <c r="J59" i="1"/>
  <c r="J60" i="1"/>
  <c r="J56" i="1"/>
  <c r="B3" i="1"/>
</calcChain>
</file>

<file path=xl/sharedStrings.xml><?xml version="1.0" encoding="utf-8"?>
<sst xmlns="http://schemas.openxmlformats.org/spreadsheetml/2006/main" count="300" uniqueCount="159">
  <si>
    <t>Nombre Completo</t>
  </si>
  <si>
    <t>Puesto</t>
  </si>
  <si>
    <t>Area</t>
  </si>
  <si>
    <t>Turno</t>
  </si>
  <si>
    <t>Supervisor</t>
  </si>
  <si>
    <t>Fecha de nacimiento</t>
  </si>
  <si>
    <t xml:space="preserve">Edad </t>
  </si>
  <si>
    <t>Genero</t>
  </si>
  <si>
    <t>Nacionalidad</t>
  </si>
  <si>
    <t>Numero de Telefono</t>
  </si>
  <si>
    <t>Tipo de transporte que usa</t>
  </si>
  <si>
    <t>Numero de DUI</t>
  </si>
  <si>
    <t>Fecha de Expedicion</t>
  </si>
  <si>
    <t>Fecha de Vencimiento</t>
  </si>
  <si>
    <t>Direccion Actual</t>
  </si>
  <si>
    <t>Expedido en Municipio</t>
  </si>
  <si>
    <t>Expedido en Departamento</t>
  </si>
  <si>
    <t>Profecion según DUI</t>
  </si>
  <si>
    <t>Estado Familiar según DUI</t>
  </si>
  <si>
    <t>Nombre de la Madre</t>
  </si>
  <si>
    <t>Nombre del Padre</t>
  </si>
  <si>
    <t>Informacion de Estudios</t>
  </si>
  <si>
    <t>Nivel de Estudio</t>
  </si>
  <si>
    <t>Educacion Basica</t>
  </si>
  <si>
    <t>Grado</t>
  </si>
  <si>
    <t>Nombre de la institucion</t>
  </si>
  <si>
    <t>Titulo Obtenido</t>
  </si>
  <si>
    <t>Fecha de Finalizacion</t>
  </si>
  <si>
    <t>Bachillerato</t>
  </si>
  <si>
    <t>Universidad</t>
  </si>
  <si>
    <t>Otros Estudios</t>
  </si>
  <si>
    <t>Datos Familiares</t>
  </si>
  <si>
    <t>Nombre del Conyuge</t>
  </si>
  <si>
    <t>Fecha de Nacimiento</t>
  </si>
  <si>
    <t>Edad</t>
  </si>
  <si>
    <t>Nombre de sus hijos</t>
  </si>
  <si>
    <t>En caso de emergencia llamar a:</t>
  </si>
  <si>
    <t>Nombre</t>
  </si>
  <si>
    <t>Parentezco</t>
  </si>
  <si>
    <t># de telefono</t>
  </si>
  <si>
    <t>Beneficiarios</t>
  </si>
  <si>
    <t>Nombre completo de beneficiario</t>
  </si>
  <si>
    <t>Porcentaje</t>
  </si>
  <si>
    <t>Fecha Actual</t>
  </si>
  <si>
    <t>Codigo de Empleado</t>
  </si>
  <si>
    <t>Cpanel</t>
  </si>
  <si>
    <t>Sel Row</t>
  </si>
  <si>
    <t>Search</t>
  </si>
  <si>
    <t>Datos DUI</t>
  </si>
  <si>
    <t>Informacion Estudios</t>
  </si>
  <si>
    <t>Informacion Empleado</t>
  </si>
  <si>
    <t>SelTab Col</t>
  </si>
  <si>
    <t>Informacion de Empleado</t>
  </si>
  <si>
    <t>Datos Según DUI</t>
  </si>
  <si>
    <t>Seleccione Empleado</t>
  </si>
  <si>
    <t>ID</t>
  </si>
  <si>
    <t>Numero de telefono</t>
  </si>
  <si>
    <t>ID_Empleado</t>
  </si>
  <si>
    <t>Fecha de finalizacion</t>
  </si>
  <si>
    <t>Nombre de Hijo</t>
  </si>
  <si>
    <t>Nombre de Beneficiario</t>
  </si>
  <si>
    <t>ID_Beneficiario</t>
  </si>
  <si>
    <t>ID_Hijo</t>
  </si>
  <si>
    <t>ID_Estudio</t>
  </si>
  <si>
    <t>G12</t>
  </si>
  <si>
    <t>G14</t>
  </si>
  <si>
    <t>G16</t>
  </si>
  <si>
    <t>G18</t>
  </si>
  <si>
    <t>G20</t>
  </si>
  <si>
    <t>L12</t>
  </si>
  <si>
    <t>L14</t>
  </si>
  <si>
    <t>L16</t>
  </si>
  <si>
    <t>L18</t>
  </si>
  <si>
    <t>L20</t>
  </si>
  <si>
    <t>L22</t>
  </si>
  <si>
    <t>G27</t>
  </si>
  <si>
    <t>G28</t>
  </si>
  <si>
    <t>G29</t>
  </si>
  <si>
    <t>G30</t>
  </si>
  <si>
    <t>G31</t>
  </si>
  <si>
    <t>L27</t>
  </si>
  <si>
    <t>L28</t>
  </si>
  <si>
    <t>L29</t>
  </si>
  <si>
    <t>L30</t>
  </si>
  <si>
    <t>L31</t>
  </si>
  <si>
    <t>E48</t>
  </si>
  <si>
    <t>Edad Cpmyuge</t>
  </si>
  <si>
    <t>Fecha de nacimiento conyuge</t>
  </si>
  <si>
    <t>Genero Conyuge</t>
  </si>
  <si>
    <t>Tabla Informacion General</t>
  </si>
  <si>
    <t>Tabla Informacion sobre estudios</t>
  </si>
  <si>
    <t>Tabla informacion de hijos</t>
  </si>
  <si>
    <t>Tabla informacion de beneficiarios</t>
  </si>
  <si>
    <t xml:space="preserve"> </t>
  </si>
  <si>
    <t>NOMBRE</t>
  </si>
  <si>
    <t>VICTOR</t>
  </si>
  <si>
    <t>PUESTO</t>
  </si>
  <si>
    <t>AREA</t>
  </si>
  <si>
    <t>TURNO</t>
  </si>
  <si>
    <t>FECHA DE NACIMIENTO</t>
  </si>
  <si>
    <t>EDAD</t>
  </si>
  <si>
    <t>GENERO</t>
  </si>
  <si>
    <t>Juan Pablo Pérez Martínez</t>
  </si>
  <si>
    <t>Desarrollador de Software</t>
  </si>
  <si>
    <t>Desarrollo</t>
  </si>
  <si>
    <t>Matutino</t>
  </si>
  <si>
    <t>Masculino</t>
  </si>
  <si>
    <t>María Sofía García López</t>
  </si>
  <si>
    <t>Analista de Datos</t>
  </si>
  <si>
    <t>Ciencia de Datos</t>
  </si>
  <si>
    <t>Vespertino</t>
  </si>
  <si>
    <t>Femenino</t>
  </si>
  <si>
    <t>Pedro Antonio López González</t>
  </si>
  <si>
    <t>Diseñador Gráfico</t>
  </si>
  <si>
    <t>Marketing</t>
  </si>
  <si>
    <t>Ana Gabriela Sánchez Muñoz</t>
  </si>
  <si>
    <t>Ingeniera de Sistemas</t>
  </si>
  <si>
    <t>Infraestructura</t>
  </si>
  <si>
    <t>Carlos Alberto Rodríguez Hernández</t>
  </si>
  <si>
    <t>Técnico de Soporte</t>
  </si>
  <si>
    <t>Soporte Técnico</t>
  </si>
  <si>
    <t>San Salvador, San Salvador centro, comunidad quiñones poligono 18 lote numero 27</t>
  </si>
  <si>
    <t>Soltero</t>
  </si>
  <si>
    <t>Estudiante</t>
  </si>
  <si>
    <t>San Salvador</t>
  </si>
  <si>
    <t>emmasd sdasdhas asdasda asdasd</t>
  </si>
  <si>
    <t>iodhasd asdhada asdhasd asdhaso</t>
  </si>
  <si>
    <t>56456456-2</t>
  </si>
  <si>
    <t>primero a noveno</t>
  </si>
  <si>
    <t>Centro Escolar Catolico Nuestra señora de lourdes</t>
  </si>
  <si>
    <t>Eduacion Basica</t>
  </si>
  <si>
    <t>Primer y Segundo Año bachillerato General</t>
  </si>
  <si>
    <t>Centro Escolar "Walter Thilo Deininger" Cojutepeque</t>
  </si>
  <si>
    <t>Bachiller Gerenal con dilplomado en diseño</t>
  </si>
  <si>
    <t>Pregrado</t>
  </si>
  <si>
    <t>Universidad Pedagogica de El Salvador Dr Luis Alonso Aparicio</t>
  </si>
  <si>
    <t>Ingeniero en Sistemas y Computacion</t>
  </si>
  <si>
    <t>Diplomado</t>
  </si>
  <si>
    <t>Centro ¡Superate! Merlet</t>
  </si>
  <si>
    <t>Diplomado en ingles, computacion y valores</t>
  </si>
  <si>
    <t>FORMULARIO ACTUALIZACION DE INFORMACION</t>
  </si>
  <si>
    <t>Mariana Guadalupe Paula Valentina Martínez</t>
  </si>
  <si>
    <t>Fecha de Nacimiento    (DD/MM/YYYY)</t>
  </si>
  <si>
    <t>Extranjera</t>
  </si>
  <si>
    <t>Salvadoreña</t>
  </si>
  <si>
    <t>Transporte</t>
  </si>
  <si>
    <t>Camina</t>
  </si>
  <si>
    <t>Autobus de la empresa</t>
  </si>
  <si>
    <t>Vehiculo propio</t>
  </si>
  <si>
    <t>Victoria Valentina Ramírez Flores</t>
  </si>
  <si>
    <t>María Fernanda Martínez Hernández</t>
  </si>
  <si>
    <t>Carlos Francisco Martínez González</t>
  </si>
  <si>
    <t>Noé Alejandro Martínez Hernández</t>
  </si>
  <si>
    <t>Hermano</t>
  </si>
  <si>
    <t>Hijo</t>
  </si>
  <si>
    <t>Next ID</t>
  </si>
  <si>
    <t>DUI</t>
  </si>
  <si>
    <t>Jose Maria Fernandez Fernandez</t>
  </si>
  <si>
    <t>Jose Luis Duran Castro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</si>
</sst>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4" tint="-0.499984740745262"/>
      <name val="Aptos Narrow"/>
      <family val="2"/>
      <scheme val="minor"/>
    </font>
    <font>
      <sz val="10"/>
      <color theme="1"/>
      <name val="Arial"/>
      <family val="2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 tint="-0.34998626667073579"/>
      <name val="Microsoft YaHei UI"/>
      <family val="2"/>
    </font>
    <font>
      <b/>
      <sz val="11"/>
      <color theme="0"/>
      <name val="Microsoft YaHei UI"/>
      <family val="2"/>
    </font>
    <font>
      <b/>
      <sz val="18"/>
      <color theme="1"/>
      <name val="Microsoft YaHei UI"/>
      <family val="2"/>
    </font>
    <font>
      <b/>
      <sz val="12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112D5F"/>
        <bgColor indexed="64"/>
      </patternFill>
    </fill>
    <fill>
      <patternFill patternType="solid">
        <fgColor theme="0"/>
        <bgColor auto="1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44B3E1"/>
      </left>
      <right/>
      <top style="medium">
        <color rgb="FF44B3E1"/>
      </top>
      <bottom style="medium">
        <color rgb="FF44B3E1"/>
      </bottom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2F4367"/>
      </left>
      <right/>
      <top style="medium">
        <color rgb="FF2F4367"/>
      </top>
      <bottom style="medium">
        <color rgb="FF2F4367"/>
      </bottom>
      <diagonal/>
    </border>
    <border>
      <left/>
      <right/>
      <top style="medium">
        <color rgb="FF2F4367"/>
      </top>
      <bottom style="medium">
        <color rgb="FF2F4367"/>
      </bottom>
      <diagonal/>
    </border>
    <border>
      <left/>
      <right style="medium">
        <color rgb="FF2F4367"/>
      </right>
      <top style="medium">
        <color rgb="FF2F4367"/>
      </top>
      <bottom style="medium">
        <color rgb="FF2F4367"/>
      </bottom>
      <diagonal/>
    </border>
    <border>
      <left/>
      <right style="thin">
        <color indexed="64"/>
      </right>
      <top style="medium">
        <color rgb="FF2F4367"/>
      </top>
      <bottom style="medium">
        <color rgb="FF2F4367"/>
      </bottom>
      <diagonal/>
    </border>
    <border>
      <left style="thin">
        <color indexed="64"/>
      </left>
      <right style="thin">
        <color indexed="64"/>
      </right>
      <top style="medium">
        <color rgb="FF2F4367"/>
      </top>
      <bottom style="medium">
        <color rgb="FF2F4367"/>
      </bottom>
      <diagonal/>
    </border>
    <border>
      <left style="thin">
        <color indexed="64"/>
      </left>
      <right style="medium">
        <color rgb="FF2F4367"/>
      </right>
      <top style="medium">
        <color rgb="FF2F4367"/>
      </top>
      <bottom style="medium">
        <color rgb="FF2F4367"/>
      </bottom>
      <diagonal/>
    </border>
    <border>
      <left/>
      <right style="medium">
        <color theme="4" tint="0.39994506668294322"/>
      </right>
      <top style="medium">
        <color rgb="FF2F4367"/>
      </top>
      <bottom style="medium">
        <color rgb="FF2F4367"/>
      </bottom>
      <diagonal/>
    </border>
    <border>
      <left style="medium">
        <color rgb="FF2F4367"/>
      </left>
      <right style="thin">
        <color indexed="64"/>
      </right>
      <top style="medium">
        <color rgb="FF2F4367"/>
      </top>
      <bottom style="medium">
        <color rgb="FF2F4367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3" fillId="0" borderId="4" xfId="0" applyFont="1" applyBorder="1" applyAlignment="1">
      <alignment horizontal="right" wrapText="1"/>
    </xf>
    <xf numFmtId="0" fontId="3" fillId="0" borderId="4" xfId="0" applyFont="1" applyBorder="1" applyAlignment="1">
      <alignment wrapText="1"/>
    </xf>
    <xf numFmtId="14" fontId="3" fillId="0" borderId="4" xfId="0" applyNumberFormat="1" applyFont="1" applyBorder="1" applyAlignment="1">
      <alignment horizontal="right" wrapText="1"/>
    </xf>
    <xf numFmtId="0" fontId="0" fillId="5" borderId="0" xfId="0" applyFill="1"/>
    <xf numFmtId="0" fontId="1" fillId="5" borderId="0" xfId="0" applyFont="1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1" fillId="3" borderId="9" xfId="0" applyFont="1" applyFill="1" applyBorder="1" applyAlignment="1">
      <alignment vertical="center"/>
    </xf>
    <xf numFmtId="0" fontId="1" fillId="4" borderId="11" xfId="0" applyFont="1" applyFill="1" applyBorder="1" applyAlignment="1">
      <alignment vertical="center"/>
    </xf>
    <xf numFmtId="0" fontId="1" fillId="3" borderId="1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5" borderId="5" xfId="0" applyFill="1" applyBorder="1"/>
    <xf numFmtId="0" fontId="1" fillId="3" borderId="14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14" fontId="0" fillId="5" borderId="0" xfId="0" applyNumberFormat="1" applyFill="1"/>
    <xf numFmtId="0" fontId="0" fillId="0" borderId="19" xfId="0" applyBorder="1"/>
    <xf numFmtId="0" fontId="0" fillId="0" borderId="20" xfId="0" applyBorder="1"/>
    <xf numFmtId="10" fontId="0" fillId="4" borderId="5" xfId="0" applyNumberFormat="1" applyFill="1" applyBorder="1" applyAlignment="1">
      <alignment horizontal="center" vertical="center"/>
    </xf>
    <xf numFmtId="0" fontId="0" fillId="0" borderId="21" xfId="0" applyBorder="1"/>
    <xf numFmtId="0" fontId="6" fillId="6" borderId="22" xfId="0" applyFont="1" applyFill="1" applyBorder="1"/>
    <xf numFmtId="0" fontId="6" fillId="6" borderId="23" xfId="0" applyFont="1" applyFill="1" applyBorder="1"/>
    <xf numFmtId="0" fontId="6" fillId="6" borderId="24" xfId="0" applyFont="1" applyFill="1" applyBorder="1"/>
    <xf numFmtId="0" fontId="0" fillId="7" borderId="22" xfId="0" applyFill="1" applyBorder="1"/>
    <xf numFmtId="0" fontId="0" fillId="7" borderId="23" xfId="0" applyFill="1" applyBorder="1"/>
    <xf numFmtId="0" fontId="0" fillId="7" borderId="24" xfId="0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4" fontId="0" fillId="4" borderId="15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4" borderId="5" xfId="0" applyNumberForma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4" borderId="5" xfId="0" applyFill="1" applyBorder="1" applyAlignment="1">
      <alignment horizontal="center"/>
    </xf>
    <xf numFmtId="0" fontId="1" fillId="5" borderId="0" xfId="0" applyFont="1" applyFill="1" applyAlignment="1">
      <alignment horizontal="left"/>
    </xf>
    <xf numFmtId="0" fontId="0" fillId="4" borderId="13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5" xfId="0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left" vertical="center"/>
    </xf>
    <xf numFmtId="0" fontId="1" fillId="3" borderId="11" xfId="0" applyFont="1" applyFill="1" applyBorder="1" applyAlignment="1">
      <alignment horizontal="left" vertical="center"/>
    </xf>
    <xf numFmtId="0" fontId="0" fillId="4" borderId="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4" fontId="0" fillId="4" borderId="8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4" borderId="10" xfId="0" applyFill="1" applyBorder="1" applyAlignment="1">
      <alignment horizontal="center"/>
    </xf>
    <xf numFmtId="0" fontId="1" fillId="3" borderId="17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4" fontId="0" fillId="5" borderId="5" xfId="0" applyNumberFormat="1" applyFill="1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9" borderId="0" xfId="0" applyFont="1" applyFill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5" fillId="4" borderId="0" xfId="0" applyFont="1" applyFill="1" applyAlignment="1">
      <alignment horizont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horizontal="center"/>
    </xf>
    <xf numFmtId="0" fontId="1" fillId="4" borderId="0" xfId="0" applyFont="1" applyFill="1"/>
    <xf numFmtId="14" fontId="0" fillId="4" borderId="0" xfId="0" applyNumberFormat="1" applyFill="1"/>
    <xf numFmtId="0" fontId="1" fillId="4" borderId="0" xfId="0" applyFont="1" applyFill="1" applyAlignment="1">
      <alignment horizontal="left"/>
    </xf>
    <xf numFmtId="0" fontId="0" fillId="4" borderId="0" xfId="0" applyFill="1" applyAlignment="1">
      <alignment horizontal="center" vertical="center"/>
    </xf>
    <xf numFmtId="0" fontId="8" fillId="9" borderId="26" xfId="0" applyFont="1" applyFill="1" applyBorder="1" applyAlignment="1">
      <alignment horizontal="left" vertical="center"/>
    </xf>
    <xf numFmtId="0" fontId="8" fillId="9" borderId="27" xfId="0" applyFont="1" applyFill="1" applyBorder="1" applyAlignment="1">
      <alignment horizontal="left" vertic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/>
    </xf>
    <xf numFmtId="0" fontId="8" fillId="9" borderId="27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vertical="center"/>
    </xf>
    <xf numFmtId="0" fontId="8" fillId="9" borderId="32" xfId="0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8" xfId="0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 wrapText="1"/>
    </xf>
    <xf numFmtId="0" fontId="8" fillId="9" borderId="27" xfId="0" applyFont="1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 wrapText="1"/>
    </xf>
    <xf numFmtId="0" fontId="8" fillId="9" borderId="28" xfId="0" applyFont="1" applyFill="1" applyBorder="1" applyAlignment="1">
      <alignment vertical="center" wrapText="1"/>
    </xf>
    <xf numFmtId="0" fontId="0" fillId="4" borderId="28" xfId="0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center" wrapText="1"/>
    </xf>
    <xf numFmtId="14" fontId="0" fillId="4" borderId="27" xfId="0" applyNumberFormat="1" applyFill="1" applyBorder="1" applyAlignment="1">
      <alignment horizontal="center" vertical="center" wrapText="1"/>
    </xf>
    <xf numFmtId="14" fontId="0" fillId="4" borderId="28" xfId="0" applyNumberFormat="1" applyFill="1" applyBorder="1" applyAlignment="1">
      <alignment horizontal="center" vertical="center" wrapText="1"/>
    </xf>
    <xf numFmtId="10" fontId="0" fillId="4" borderId="33" xfId="0" applyNumberFormat="1" applyFill="1" applyBorder="1" applyAlignment="1">
      <alignment horizontal="center" vertical="center" wrapText="1"/>
    </xf>
    <xf numFmtId="14" fontId="0" fillId="4" borderId="29" xfId="0" applyNumberFormat="1" applyFill="1" applyBorder="1" applyAlignment="1">
      <alignment horizontal="center" vertical="center"/>
    </xf>
    <xf numFmtId="14" fontId="0" fillId="4" borderId="30" xfId="0" applyNumberFormat="1" applyFill="1" applyBorder="1" applyAlignment="1">
      <alignment horizontal="center" vertical="center"/>
    </xf>
    <xf numFmtId="14" fontId="0" fillId="4" borderId="31" xfId="0" applyNumberFormat="1" applyFill="1" applyBorder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8" fillId="9" borderId="28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2D76"/>
        </patternFill>
      </fill>
    </dxf>
  </dxfs>
  <tableStyles count="0" defaultTableStyle="TableStyleMedium2" defaultPivotStyle="PivotStyleLight16"/>
  <colors>
    <mruColors>
      <color rgb="FF002D76"/>
      <color rgb="FF003282"/>
      <color rgb="FF00245E"/>
      <color rgb="FF112D5F"/>
      <color rgb="FFD0788E"/>
      <color rgb="FF2F4367"/>
      <color rgb="FF405B8D"/>
      <color rgb="FF44B3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321470</xdr:colOff>
      <xdr:row>6</xdr:row>
      <xdr:rowOff>113960</xdr:rowOff>
    </xdr:from>
    <xdr:to>
      <xdr:col>16</xdr:col>
      <xdr:colOff>452437</xdr:colOff>
      <xdr:row>7</xdr:row>
      <xdr:rowOff>370795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7E2D876-08FA-6567-0CF4-94D3A9EDE092}"/>
            </a:ext>
          </a:extLst>
        </xdr:cNvPr>
        <xdr:cNvGrpSpPr/>
      </xdr:nvGrpSpPr>
      <xdr:grpSpPr>
        <a:xfrm>
          <a:off x="13899887" y="1637960"/>
          <a:ext cx="2237050" cy="447335"/>
          <a:chOff x="11620501" y="1506991"/>
          <a:chExt cx="2238374" cy="447335"/>
        </a:xfrm>
      </xdr:grpSpPr>
      <xdr:sp macro="[0]!EmployeeSaveUpdate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620501" y="1506991"/>
            <a:ext cx="2238374" cy="447335"/>
          </a:xfrm>
          <a:prstGeom prst="rect">
            <a:avLst/>
          </a:prstGeom>
          <a:solidFill>
            <a:srgbClr val="112D5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Llenar</a:t>
            </a:r>
            <a:r>
              <a:rPr lang="en-US" sz="1600" b="1" baseline="0"/>
              <a:t> Documento</a:t>
            </a:r>
            <a:endParaRPr lang="en-US" sz="1600" b="1"/>
          </a:p>
        </xdr:txBody>
      </xdr:sp>
      <xdr:pic macro="[0]!EmployeeSaveUpdate">
        <xdr:nvPicPr>
          <xdr:cNvPr id="4" name="Graphic 3" descr="Clipboard outline">
            <a:extLst>
              <a:ext uri="{FF2B5EF4-FFF2-40B4-BE49-F238E27FC236}">
                <a16:creationId xmlns:a16="http://schemas.microsoft.com/office/drawing/2014/main" id="{55FD6572-E449-F7A9-60EF-7B722E3EF1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3845" y="1535908"/>
            <a:ext cx="380998" cy="3809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2833</xdr:colOff>
      <xdr:row>4</xdr:row>
      <xdr:rowOff>14742</xdr:rowOff>
    </xdr:from>
    <xdr:to>
      <xdr:col>8</xdr:col>
      <xdr:colOff>645771</xdr:colOff>
      <xdr:row>5</xdr:row>
      <xdr:rowOff>8142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C545E50-A688-67C7-AB68-D432AFA09625}"/>
            </a:ext>
          </a:extLst>
        </xdr:cNvPr>
        <xdr:cNvGrpSpPr/>
      </xdr:nvGrpSpPr>
      <xdr:grpSpPr>
        <a:xfrm>
          <a:off x="7241833" y="967242"/>
          <a:ext cx="642938" cy="374400"/>
          <a:chOff x="5491048" y="946264"/>
          <a:chExt cx="642938" cy="381000"/>
        </a:xfrm>
      </xdr:grpSpPr>
      <xdr:sp macro="[0]!LoadEmployee" textlink="">
        <xdr:nvSpPr>
          <xdr:cNvPr id="11" name="Rectangle 10">
            <a:extLst>
              <a:ext uri="{FF2B5EF4-FFF2-40B4-BE49-F238E27FC236}">
                <a16:creationId xmlns:a16="http://schemas.microsoft.com/office/drawing/2014/main" id="{4484FC85-73B8-FEC5-5798-D00210376EE6}"/>
              </a:ext>
            </a:extLst>
          </xdr:cNvPr>
          <xdr:cNvSpPr/>
        </xdr:nvSpPr>
        <xdr:spPr>
          <a:xfrm>
            <a:off x="5491048" y="946264"/>
            <a:ext cx="642938" cy="381000"/>
          </a:xfrm>
          <a:prstGeom prst="rect">
            <a:avLst/>
          </a:prstGeom>
          <a:solidFill>
            <a:srgbClr val="112D5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LoadEmployee">
        <xdr:nvPicPr>
          <xdr:cNvPr id="10" name="Graphic 9" descr="Magnifying glass with solid fill">
            <a:extLst>
              <a:ext uri="{FF2B5EF4-FFF2-40B4-BE49-F238E27FC236}">
                <a16:creationId xmlns:a16="http://schemas.microsoft.com/office/drawing/2014/main" id="{28E4B018-1343-AE96-D2B6-1C65C27DB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15215" y="946826"/>
            <a:ext cx="379188" cy="37918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4DCB1-6373-473C-944C-52A7A0203E81}" name="estudios_empleado" displayName="estudios_empleado" ref="AD7:AJ8" insertRow="1" totalsRowShown="0">
  <autoFilter ref="AD7:AJ8" xr:uid="{0164DCB1-6373-473C-944C-52A7A0203E81}"/>
  <tableColumns count="7">
    <tableColumn id="1" xr3:uid="{6DB02100-F820-4CA2-8FCC-D4D3A153EF97}" name="ID_Estudio"/>
    <tableColumn id="2" xr3:uid="{62914C14-5EA1-4273-B4EC-6077DB3BD703}" name="ID_Empleado"/>
    <tableColumn id="3" xr3:uid="{BCB06AC1-CB2F-4FA5-917C-A6CD32637702}" name="Nivel de Estudio"/>
    <tableColumn id="4" xr3:uid="{D60B4A9D-4CF5-4078-A3E2-21A6153615AF}" name="Grado"/>
    <tableColumn id="5" xr3:uid="{EE43FAF9-FC1A-42D3-A90D-E452B5907BDF}" name="Nombre de la institucion"/>
    <tableColumn id="6" xr3:uid="{E05CB6D2-F7B6-4D6C-B7F0-4CCA9F293E30}" name="Titulo Obtenido"/>
    <tableColumn id="7" xr3:uid="{36981513-DA0F-4F0F-B017-41584E3CAB26}" name="Fecha de finaliza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8455DF-1F43-471A-B5ED-0EF0EDF83C98}" name="hijos_empleado" displayName="hijos_empleado" ref="AL7:AQ8" insertRow="1" totalsRowShown="0">
  <autoFilter ref="AL7:AQ8" xr:uid="{1E8455DF-1F43-471A-B5ED-0EF0EDF83C98}"/>
  <tableColumns count="6">
    <tableColumn id="1" xr3:uid="{900E9C10-4502-4AAA-BF98-816C871AFAE5}" name="ID_Hijo"/>
    <tableColumn id="2" xr3:uid="{7DE110E9-C76B-4A2A-BC63-85BECD664007}" name="ID_Empleado"/>
    <tableColumn id="3" xr3:uid="{0154F1FB-A9CB-4B89-95D0-0313122F6A90}" name="Nombre de Hijo"/>
    <tableColumn id="4" xr3:uid="{ABB990B8-E5DD-4FF5-AC3D-751B7FB2DB32}" name="Fecha de Nacimiento"/>
    <tableColumn id="5" xr3:uid="{F73AA3D7-0E19-4870-8F90-F4EB919A120F}" name="Edad"/>
    <tableColumn id="6" xr3:uid="{E281EE71-346C-4BB6-BA0A-2E778B5DD38F}" name="Gene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6A0E89-31A6-4422-921C-CECCB8B60DC8}" name="beneficiarios_empleado" displayName="beneficiarios_empleado" ref="AS7:AX8" insertRow="1" totalsRowShown="0">
  <autoFilter ref="AS7:AX8" xr:uid="{946A0E89-31A6-4422-921C-CECCB8B60DC8}"/>
  <tableColumns count="6">
    <tableColumn id="1" xr3:uid="{CA96680F-9EBC-4B03-B5C6-FE892B7F5DB7}" name="ID_Beneficiario"/>
    <tableColumn id="2" xr3:uid="{C8725C07-2A82-4F83-BC4F-1A947D1DAF67}" name="ID_Empleado"/>
    <tableColumn id="3" xr3:uid="{737E866E-32AE-4593-B879-4C9086C931BC}" name="Nombre de Beneficiario"/>
    <tableColumn id="4" xr3:uid="{05DA574E-76D5-4246-B1E3-3F46A1A6BD9B}" name="Fecha de nacimiento"/>
    <tableColumn id="5" xr3:uid="{E38578DF-89E2-4E87-877C-6CC947702300}" name="Parentezco"/>
    <tableColumn id="6" xr3:uid="{26D7E149-1F6F-4DC3-859C-6565EBA0EB8D}" name="Porcentaj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82D038-2F1C-4717-B3A0-BCFC497A1605}" name="DATOS_DB_PRUEBA" displayName="DATOS_DB_PRUEBA" ref="A4:H11" totalsRowShown="0">
  <autoFilter ref="A4:H11" xr:uid="{E182D038-2F1C-4717-B3A0-BCFC497A1605}"/>
  <tableColumns count="8">
    <tableColumn id="1" xr3:uid="{4BE09EBE-E235-4FA0-B40B-52F600D68C1C}" name="ID"/>
    <tableColumn id="2" xr3:uid="{AF04AE6A-280A-453F-90B7-3F22555645A4}" name="NOMBRE"/>
    <tableColumn id="3" xr3:uid="{8DA4ED60-DAB4-43F1-97BA-1C07B85B71D9}" name="PUESTO"/>
    <tableColumn id="4" xr3:uid="{9A89C663-7F33-426D-848B-E8ED2A33A7C2}" name="AREA"/>
    <tableColumn id="5" xr3:uid="{8A16FE6D-50C7-4619-B222-1B228F56B237}" name="TURNO"/>
    <tableColumn id="6" xr3:uid="{8EC43893-7DCC-4C87-9DC9-AAC1540E9A38}" name="FECHA DE NACIMIENTO"/>
    <tableColumn id="7" xr3:uid="{68DB5558-C788-429B-B95C-45DF84A8E0FE}" name="EDAD"/>
    <tableColumn id="8" xr3:uid="{1CCD9C22-70CE-4D7C-AE27-4EEF121FECCC}" name="GEN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21CA0-E06A-4206-8596-C15467A639DD}">
  <sheetPr codeName="Formulario">
    <tabColor theme="3" tint="0.249977111117893"/>
  </sheetPr>
  <dimension ref="A1:W104"/>
  <sheetViews>
    <sheetView tabSelected="1" topLeftCell="C2" zoomScale="90" zoomScaleNormal="90" workbookViewId="0">
      <selection activeCell="G12" sqref="G12:I12"/>
    </sheetView>
  </sheetViews>
  <sheetFormatPr defaultColWidth="11.42578125" defaultRowHeight="15" x14ac:dyDescent="0.25"/>
  <cols>
    <col min="1" max="2" width="11.42578125" style="1" customWidth="1"/>
    <col min="3" max="4" width="11.42578125" customWidth="1"/>
    <col min="5" max="10" width="15.7109375" customWidth="1"/>
    <col min="11" max="11" width="16.5703125" customWidth="1"/>
    <col min="12" max="14" width="15.7109375" customWidth="1"/>
    <col min="15" max="15" width="20.140625" customWidth="1"/>
    <col min="17" max="17" width="16.42578125" bestFit="1" customWidth="1"/>
    <col min="18" max="23" width="11.42578125" style="68"/>
  </cols>
  <sheetData>
    <row r="1" spans="1:23" x14ac:dyDescent="0.25">
      <c r="A1" s="54" t="s">
        <v>45</v>
      </c>
      <c r="B1" s="54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</row>
    <row r="2" spans="1:23" x14ac:dyDescent="0.25">
      <c r="A2" s="1" t="s">
        <v>51</v>
      </c>
      <c r="B2" s="1">
        <v>5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23" ht="30" customHeight="1" x14ac:dyDescent="0.25">
      <c r="A3" s="1" t="s">
        <v>46</v>
      </c>
      <c r="B3" s="1">
        <f>IFERROR(MATCH(G5,DATOS_DB_PRUEBA[ID],0),"NAN")</f>
        <v>2</v>
      </c>
      <c r="C3" s="106" t="s">
        <v>140</v>
      </c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68"/>
      <c r="Q3" s="68"/>
    </row>
    <row r="4" spans="1:23" ht="15" customHeight="1" x14ac:dyDescent="0.25">
      <c r="A4" s="1" t="s">
        <v>47</v>
      </c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68"/>
      <c r="Q4" s="68"/>
    </row>
    <row r="5" spans="1:23" ht="30" customHeight="1" x14ac:dyDescent="0.25">
      <c r="A5" s="1" t="s">
        <v>155</v>
      </c>
      <c r="B5" s="1">
        <f ca="1">IFERROR(MAX(Empl_ID)+1,1)</f>
        <v>1</v>
      </c>
      <c r="C5" s="68"/>
      <c r="D5" s="68"/>
      <c r="E5" s="109" t="s">
        <v>54</v>
      </c>
      <c r="F5" s="109"/>
      <c r="G5" s="110">
        <v>2</v>
      </c>
      <c r="H5" s="110"/>
      <c r="I5" s="68"/>
      <c r="J5" s="68"/>
      <c r="K5" s="68"/>
      <c r="L5" s="68"/>
      <c r="M5" s="68"/>
      <c r="N5" s="68"/>
      <c r="O5" s="68"/>
      <c r="P5" s="68"/>
      <c r="Q5" s="68"/>
    </row>
    <row r="6" spans="1:23" x14ac:dyDescent="0.25"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</row>
    <row r="7" spans="1:23" x14ac:dyDescent="0.25"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</row>
    <row r="8" spans="1:23" s="66" customFormat="1" ht="30" customHeight="1" x14ac:dyDescent="0.25">
      <c r="A8" s="65"/>
      <c r="B8" s="65"/>
      <c r="C8" s="76"/>
      <c r="D8" s="76"/>
      <c r="E8" s="111" t="s">
        <v>50</v>
      </c>
      <c r="F8" s="111"/>
      <c r="G8" s="67" t="s">
        <v>48</v>
      </c>
      <c r="H8" s="111" t="s">
        <v>49</v>
      </c>
      <c r="I8" s="111"/>
      <c r="J8" s="111" t="s">
        <v>31</v>
      </c>
      <c r="K8" s="111"/>
      <c r="L8" s="111" t="s">
        <v>40</v>
      </c>
      <c r="M8" s="111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x14ac:dyDescent="0.25"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</row>
    <row r="10" spans="1:23" ht="24" x14ac:dyDescent="0.4">
      <c r="C10" s="68"/>
      <c r="D10" s="68"/>
      <c r="E10" s="107" t="s">
        <v>52</v>
      </c>
      <c r="F10" s="107"/>
      <c r="G10" s="107"/>
      <c r="H10" s="107"/>
      <c r="I10" s="107"/>
      <c r="J10" s="107"/>
      <c r="K10" s="107"/>
      <c r="L10" s="107"/>
      <c r="M10" s="107"/>
      <c r="N10" s="107"/>
      <c r="O10" s="68"/>
      <c r="P10" s="68"/>
      <c r="Q10" s="68"/>
    </row>
    <row r="11" spans="1:23" ht="15.75" thickBot="1" x14ac:dyDescent="0.3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</row>
    <row r="12" spans="1:23" ht="24.95" customHeight="1" thickBot="1" x14ac:dyDescent="0.3">
      <c r="C12" s="68"/>
      <c r="D12" s="68"/>
      <c r="E12" s="77" t="s">
        <v>0</v>
      </c>
      <c r="F12" s="78"/>
      <c r="G12" s="79" t="s">
        <v>107</v>
      </c>
      <c r="H12" s="80"/>
      <c r="I12" s="81"/>
      <c r="J12" s="77" t="s">
        <v>5</v>
      </c>
      <c r="K12" s="78"/>
      <c r="L12" s="103">
        <v>34894</v>
      </c>
      <c r="M12" s="104"/>
      <c r="N12" s="105"/>
      <c r="O12" s="68"/>
      <c r="P12" s="68"/>
      <c r="Q12" s="68"/>
    </row>
    <row r="13" spans="1:23" ht="15.75" thickBot="1" x14ac:dyDescent="0.3">
      <c r="C13" s="68"/>
      <c r="D13" s="68"/>
      <c r="E13" s="69"/>
      <c r="F13" s="69"/>
      <c r="G13" s="68"/>
      <c r="H13" s="68"/>
      <c r="I13" s="68"/>
      <c r="J13" s="69"/>
      <c r="K13" s="69"/>
      <c r="L13" s="68"/>
      <c r="M13" s="68"/>
      <c r="N13" s="68"/>
      <c r="O13" s="68"/>
      <c r="P13" s="68"/>
      <c r="Q13" s="68"/>
    </row>
    <row r="14" spans="1:23" ht="24.95" customHeight="1" thickBot="1" x14ac:dyDescent="0.3">
      <c r="A14" s="1" t="s">
        <v>8</v>
      </c>
      <c r="C14" s="68"/>
      <c r="D14" s="68"/>
      <c r="E14" s="77" t="s">
        <v>1</v>
      </c>
      <c r="F14" s="78"/>
      <c r="G14" s="79" t="s">
        <v>108</v>
      </c>
      <c r="H14" s="80"/>
      <c r="I14" s="81"/>
      <c r="J14" s="77" t="s">
        <v>6</v>
      </c>
      <c r="K14" s="78"/>
      <c r="L14" s="79">
        <v>29</v>
      </c>
      <c r="M14" s="80"/>
      <c r="N14" s="81"/>
      <c r="O14" s="68"/>
      <c r="P14" s="68"/>
      <c r="Q14" s="68"/>
    </row>
    <row r="15" spans="1:23" ht="15.75" thickBot="1" x14ac:dyDescent="0.3">
      <c r="A15" s="1" t="s">
        <v>143</v>
      </c>
      <c r="C15" s="68"/>
      <c r="D15" s="68"/>
      <c r="E15" s="69"/>
      <c r="F15" s="69"/>
      <c r="G15" s="68"/>
      <c r="H15" s="68"/>
      <c r="I15" s="68"/>
      <c r="J15" s="69"/>
      <c r="K15" s="69"/>
      <c r="L15" s="68"/>
      <c r="M15" s="68"/>
      <c r="N15" s="68"/>
      <c r="O15" s="68"/>
      <c r="P15" s="68"/>
      <c r="Q15" s="68"/>
    </row>
    <row r="16" spans="1:23" ht="24.95" customHeight="1" thickBot="1" x14ac:dyDescent="0.3">
      <c r="A16" s="1" t="s">
        <v>144</v>
      </c>
      <c r="C16" s="68"/>
      <c r="D16" s="68"/>
      <c r="E16" s="77" t="s">
        <v>2</v>
      </c>
      <c r="F16" s="78"/>
      <c r="G16" s="79" t="s">
        <v>109</v>
      </c>
      <c r="H16" s="80"/>
      <c r="I16" s="81"/>
      <c r="J16" s="77" t="s">
        <v>7</v>
      </c>
      <c r="K16" s="78"/>
      <c r="L16" s="79" t="s">
        <v>111</v>
      </c>
      <c r="M16" s="80"/>
      <c r="N16" s="81"/>
      <c r="O16" s="68"/>
      <c r="P16" s="68"/>
      <c r="Q16" s="68"/>
    </row>
    <row r="17" spans="1:17" ht="15.75" thickBot="1" x14ac:dyDescent="0.3">
      <c r="C17" s="68"/>
      <c r="D17" s="68"/>
      <c r="E17" s="69"/>
      <c r="F17" s="69"/>
      <c r="G17" s="68"/>
      <c r="H17" s="68"/>
      <c r="I17" s="68"/>
      <c r="J17" s="69"/>
      <c r="K17" s="69"/>
      <c r="L17" s="68"/>
      <c r="M17" s="68"/>
      <c r="N17" s="68"/>
      <c r="O17" s="68"/>
      <c r="P17" s="68"/>
      <c r="Q17" s="68"/>
    </row>
    <row r="18" spans="1:17" ht="24.95" customHeight="1" thickBot="1" x14ac:dyDescent="0.3">
      <c r="C18" s="68"/>
      <c r="D18" s="68"/>
      <c r="E18" s="77" t="s">
        <v>3</v>
      </c>
      <c r="F18" s="78"/>
      <c r="G18" s="79" t="s">
        <v>110</v>
      </c>
      <c r="H18" s="80"/>
      <c r="I18" s="81"/>
      <c r="J18" s="77" t="s">
        <v>8</v>
      </c>
      <c r="K18" s="78"/>
      <c r="L18" s="79" t="s">
        <v>144</v>
      </c>
      <c r="M18" s="80"/>
      <c r="N18" s="81"/>
      <c r="O18" s="68"/>
      <c r="P18" s="68"/>
      <c r="Q18" s="68"/>
    </row>
    <row r="19" spans="1:17" ht="15.75" thickBot="1" x14ac:dyDescent="0.3">
      <c r="A19" s="1" t="s">
        <v>145</v>
      </c>
      <c r="C19" s="68"/>
      <c r="D19" s="68"/>
      <c r="E19" s="69"/>
      <c r="F19" s="69"/>
      <c r="G19" s="68"/>
      <c r="H19" s="68"/>
      <c r="I19" s="68"/>
      <c r="J19" s="69"/>
      <c r="K19" s="69"/>
      <c r="L19" s="68"/>
      <c r="M19" s="68"/>
      <c r="N19" s="68"/>
      <c r="O19" s="68"/>
      <c r="P19" s="68"/>
      <c r="Q19" s="68"/>
    </row>
    <row r="20" spans="1:17" ht="24.95" customHeight="1" thickBot="1" x14ac:dyDescent="0.3">
      <c r="A20" s="1" t="s">
        <v>148</v>
      </c>
      <c r="C20" s="68"/>
      <c r="D20" s="68"/>
      <c r="E20" s="77" t="s">
        <v>4</v>
      </c>
      <c r="F20" s="78"/>
      <c r="G20" s="79" t="s">
        <v>158</v>
      </c>
      <c r="H20" s="80"/>
      <c r="I20" s="81"/>
      <c r="J20" s="77" t="s">
        <v>9</v>
      </c>
      <c r="K20" s="78"/>
      <c r="L20" s="79">
        <v>4449814</v>
      </c>
      <c r="M20" s="80"/>
      <c r="N20" s="81"/>
      <c r="O20" s="68"/>
      <c r="P20" s="68"/>
      <c r="Q20" s="68"/>
    </row>
    <row r="21" spans="1:17" ht="15.75" thickBot="1" x14ac:dyDescent="0.3">
      <c r="A21" s="1" t="s">
        <v>146</v>
      </c>
      <c r="C21" s="68"/>
      <c r="D21" s="68"/>
      <c r="E21" s="68"/>
      <c r="F21" s="68"/>
      <c r="G21" s="68"/>
      <c r="H21" s="68"/>
      <c r="I21" s="68"/>
      <c r="J21" s="69"/>
      <c r="K21" s="69"/>
      <c r="L21" s="68"/>
      <c r="M21" s="68"/>
      <c r="N21" s="68"/>
      <c r="O21" s="68"/>
      <c r="P21" s="68"/>
      <c r="Q21" s="68"/>
    </row>
    <row r="22" spans="1:17" ht="24.95" customHeight="1" thickBot="1" x14ac:dyDescent="0.3">
      <c r="A22" s="1" t="s">
        <v>147</v>
      </c>
      <c r="C22" s="68"/>
      <c r="D22" s="68"/>
      <c r="E22" s="68"/>
      <c r="F22" s="68"/>
      <c r="G22" s="68"/>
      <c r="H22" s="68"/>
      <c r="I22" s="68"/>
      <c r="J22" s="77" t="s">
        <v>10</v>
      </c>
      <c r="K22" s="78"/>
      <c r="L22" s="79" t="s">
        <v>146</v>
      </c>
      <c r="M22" s="80"/>
      <c r="N22" s="81"/>
      <c r="O22" s="68"/>
      <c r="P22" s="68"/>
      <c r="Q22" s="68"/>
    </row>
    <row r="23" spans="1:17" x14ac:dyDescent="0.25"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</row>
    <row r="24" spans="1:17" x14ac:dyDescent="0.25"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</row>
    <row r="25" spans="1:17" ht="24" hidden="1" x14ac:dyDescent="0.4">
      <c r="C25" s="68"/>
      <c r="D25" s="68"/>
      <c r="E25" s="107" t="s">
        <v>53</v>
      </c>
      <c r="F25" s="107"/>
      <c r="G25" s="107"/>
      <c r="H25" s="107"/>
      <c r="I25" s="107"/>
      <c r="J25" s="107"/>
      <c r="K25" s="107"/>
      <c r="L25" s="107"/>
      <c r="M25" s="107"/>
      <c r="N25" s="107"/>
      <c r="O25" s="68"/>
      <c r="P25" s="68"/>
      <c r="Q25" s="68"/>
    </row>
    <row r="26" spans="1:17" ht="15.75" hidden="1" thickBot="1" x14ac:dyDescent="0.3"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</row>
    <row r="27" spans="1:17" ht="24.95" hidden="1" customHeight="1" thickBot="1" x14ac:dyDescent="0.3">
      <c r="C27" s="68"/>
      <c r="D27" s="68"/>
      <c r="E27" s="77" t="s">
        <v>11</v>
      </c>
      <c r="F27" s="78"/>
      <c r="G27" s="79" t="s">
        <v>127</v>
      </c>
      <c r="H27" s="80"/>
      <c r="I27" s="81"/>
      <c r="J27" s="77" t="s">
        <v>15</v>
      </c>
      <c r="K27" s="78"/>
      <c r="L27" s="79" t="s">
        <v>124</v>
      </c>
      <c r="M27" s="80"/>
      <c r="N27" s="81"/>
      <c r="O27" s="68"/>
      <c r="P27" s="68"/>
      <c r="Q27" s="68"/>
    </row>
    <row r="28" spans="1:17" ht="15" hidden="1" customHeight="1" thickBot="1" x14ac:dyDescent="0.3">
      <c r="C28" s="68"/>
      <c r="D28" s="68"/>
      <c r="E28" s="71"/>
      <c r="F28" s="69"/>
      <c r="G28" s="72"/>
      <c r="H28" s="72"/>
      <c r="I28" s="72"/>
      <c r="J28" s="73"/>
      <c r="K28" s="73"/>
      <c r="L28" s="72"/>
      <c r="M28" s="72"/>
      <c r="N28" s="72"/>
      <c r="O28" s="68"/>
      <c r="P28" s="68"/>
      <c r="Q28" s="68"/>
    </row>
    <row r="29" spans="1:17" ht="24.95" hidden="1" customHeight="1" thickBot="1" x14ac:dyDescent="0.3">
      <c r="C29" s="68"/>
      <c r="D29" s="68"/>
      <c r="E29" s="77" t="s">
        <v>12</v>
      </c>
      <c r="F29" s="78"/>
      <c r="G29" s="79">
        <v>44126</v>
      </c>
      <c r="H29" s="80"/>
      <c r="I29" s="81"/>
      <c r="J29" s="77" t="s">
        <v>16</v>
      </c>
      <c r="K29" s="78"/>
      <c r="L29" s="79" t="s">
        <v>124</v>
      </c>
      <c r="M29" s="80"/>
      <c r="N29" s="81"/>
      <c r="O29" s="68"/>
      <c r="P29" s="68"/>
      <c r="Q29" s="68"/>
    </row>
    <row r="30" spans="1:17" ht="15" hidden="1" customHeight="1" thickBot="1" x14ac:dyDescent="0.3">
      <c r="C30" s="68"/>
      <c r="D30" s="68"/>
      <c r="E30" s="71"/>
      <c r="F30" s="69"/>
      <c r="G30" s="72"/>
      <c r="H30" s="72"/>
      <c r="I30" s="72"/>
      <c r="J30" s="73"/>
      <c r="K30" s="73"/>
      <c r="L30" s="72"/>
      <c r="M30" s="72"/>
      <c r="N30" s="72"/>
      <c r="O30" s="68"/>
      <c r="P30" s="68"/>
      <c r="Q30" s="68"/>
    </row>
    <row r="31" spans="1:17" ht="24.75" hidden="1" customHeight="1" thickBot="1" x14ac:dyDescent="0.3">
      <c r="C31" s="68"/>
      <c r="D31" s="68"/>
      <c r="E31" s="77" t="s">
        <v>13</v>
      </c>
      <c r="F31" s="78"/>
      <c r="G31" s="79">
        <v>46013</v>
      </c>
      <c r="H31" s="80"/>
      <c r="I31" s="81"/>
      <c r="J31" s="77" t="s">
        <v>17</v>
      </c>
      <c r="K31" s="78"/>
      <c r="L31" s="79" t="s">
        <v>123</v>
      </c>
      <c r="M31" s="80"/>
      <c r="N31" s="81"/>
      <c r="O31" s="68"/>
      <c r="P31" s="68"/>
      <c r="Q31" s="68"/>
    </row>
    <row r="32" spans="1:17" ht="15" hidden="1" customHeight="1" thickBot="1" x14ac:dyDescent="0.3">
      <c r="C32" s="68"/>
      <c r="D32" s="68"/>
      <c r="E32" s="71"/>
      <c r="F32" s="69"/>
      <c r="G32" s="72"/>
      <c r="H32" s="72"/>
      <c r="I32" s="72"/>
      <c r="J32" s="73"/>
      <c r="K32" s="73"/>
      <c r="L32" s="72"/>
      <c r="M32" s="72"/>
      <c r="N32" s="72"/>
      <c r="O32" s="68"/>
      <c r="P32" s="68"/>
      <c r="Q32" s="68"/>
    </row>
    <row r="33" spans="3:17" ht="30" hidden="1" customHeight="1" thickBot="1" x14ac:dyDescent="0.3">
      <c r="C33" s="68"/>
      <c r="D33" s="68"/>
      <c r="E33" s="77" t="s">
        <v>14</v>
      </c>
      <c r="F33" s="78"/>
      <c r="G33" s="82" t="s">
        <v>121</v>
      </c>
      <c r="H33" s="83"/>
      <c r="I33" s="84"/>
      <c r="J33" s="77" t="s">
        <v>18</v>
      </c>
      <c r="K33" s="78"/>
      <c r="L33" s="79" t="s">
        <v>122</v>
      </c>
      <c r="M33" s="80"/>
      <c r="N33" s="81"/>
      <c r="O33" s="68"/>
      <c r="P33" s="68"/>
      <c r="Q33" s="68"/>
    </row>
    <row r="34" spans="3:17" ht="15" hidden="1" customHeight="1" thickBot="1" x14ac:dyDescent="0.3">
      <c r="C34" s="68"/>
      <c r="D34" s="68"/>
      <c r="E34" s="71"/>
      <c r="F34" s="69"/>
      <c r="G34" s="72"/>
      <c r="H34" s="72"/>
      <c r="I34" s="72"/>
      <c r="J34" s="73"/>
      <c r="K34" s="73"/>
      <c r="L34" s="72"/>
      <c r="M34" s="72"/>
      <c r="N34" s="72"/>
      <c r="O34" s="68"/>
      <c r="P34" s="68"/>
      <c r="Q34" s="68"/>
    </row>
    <row r="35" spans="3:17" ht="24.95" hidden="1" customHeight="1" thickBot="1" x14ac:dyDescent="0.3">
      <c r="C35" s="68"/>
      <c r="D35" s="68"/>
      <c r="E35" s="77" t="s">
        <v>20</v>
      </c>
      <c r="F35" s="78"/>
      <c r="G35" s="79" t="s">
        <v>126</v>
      </c>
      <c r="H35" s="80"/>
      <c r="I35" s="81"/>
      <c r="J35" s="77" t="s">
        <v>19</v>
      </c>
      <c r="K35" s="78"/>
      <c r="L35" s="79" t="s">
        <v>125</v>
      </c>
      <c r="M35" s="80"/>
      <c r="N35" s="81"/>
      <c r="O35" s="68"/>
      <c r="P35" s="68"/>
      <c r="Q35" s="68"/>
    </row>
    <row r="36" spans="3:17" hidden="1" x14ac:dyDescent="0.25"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</row>
    <row r="37" spans="3:17" hidden="1" x14ac:dyDescent="0.25"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</row>
    <row r="38" spans="3:17" ht="24" hidden="1" x14ac:dyDescent="0.4">
      <c r="C38" s="68"/>
      <c r="D38" s="68"/>
      <c r="E38" s="107" t="s">
        <v>21</v>
      </c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68"/>
    </row>
    <row r="39" spans="3:17" ht="15.75" hidden="1" thickBot="1" x14ac:dyDescent="0.3"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</row>
    <row r="40" spans="3:17" ht="15.75" hidden="1" thickBot="1" x14ac:dyDescent="0.3">
      <c r="C40" s="68"/>
      <c r="D40" s="68"/>
      <c r="E40" s="73"/>
      <c r="F40" s="68"/>
      <c r="G40" s="85" t="s">
        <v>24</v>
      </c>
      <c r="H40" s="86"/>
      <c r="I40" s="85" t="s">
        <v>25</v>
      </c>
      <c r="J40" s="86"/>
      <c r="K40" s="89"/>
      <c r="L40" s="85" t="s">
        <v>26</v>
      </c>
      <c r="M40" s="86"/>
      <c r="N40" s="89"/>
      <c r="O40" s="85" t="s">
        <v>27</v>
      </c>
      <c r="P40" s="108"/>
      <c r="Q40" s="68"/>
    </row>
    <row r="41" spans="3:17" ht="30" hidden="1" customHeight="1" thickBot="1" x14ac:dyDescent="0.3">
      <c r="C41" s="68"/>
      <c r="D41" s="68"/>
      <c r="E41" s="77" t="s">
        <v>23</v>
      </c>
      <c r="F41" s="78"/>
      <c r="G41" s="82" t="s">
        <v>128</v>
      </c>
      <c r="H41" s="83"/>
      <c r="I41" s="82" t="s">
        <v>129</v>
      </c>
      <c r="J41" s="83"/>
      <c r="K41" s="84"/>
      <c r="L41" s="82" t="s">
        <v>130</v>
      </c>
      <c r="M41" s="83"/>
      <c r="N41" s="84"/>
      <c r="O41" s="82">
        <v>2018</v>
      </c>
      <c r="P41" s="83"/>
      <c r="Q41" s="68"/>
    </row>
    <row r="42" spans="3:17" ht="15" hidden="1" customHeight="1" thickBot="1" x14ac:dyDescent="0.3"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</row>
    <row r="43" spans="3:17" ht="30" hidden="1" customHeight="1" thickBot="1" x14ac:dyDescent="0.3">
      <c r="C43" s="68"/>
      <c r="D43" s="68"/>
      <c r="E43" s="77" t="s">
        <v>28</v>
      </c>
      <c r="F43" s="78"/>
      <c r="G43" s="82" t="s">
        <v>131</v>
      </c>
      <c r="H43" s="83"/>
      <c r="I43" s="82" t="s">
        <v>132</v>
      </c>
      <c r="J43" s="83"/>
      <c r="K43" s="84"/>
      <c r="L43" s="82" t="s">
        <v>133</v>
      </c>
      <c r="M43" s="83"/>
      <c r="N43" s="84"/>
      <c r="O43" s="82">
        <v>2020</v>
      </c>
      <c r="P43" s="83"/>
      <c r="Q43" s="68"/>
    </row>
    <row r="44" spans="3:17" ht="15" hidden="1" customHeight="1" thickBot="1" x14ac:dyDescent="0.3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</row>
    <row r="45" spans="3:17" ht="30" hidden="1" customHeight="1" thickBot="1" x14ac:dyDescent="0.3">
      <c r="C45" s="68"/>
      <c r="D45" s="68"/>
      <c r="E45" s="77" t="s">
        <v>29</v>
      </c>
      <c r="F45" s="78"/>
      <c r="G45" s="82" t="s">
        <v>134</v>
      </c>
      <c r="H45" s="83"/>
      <c r="I45" s="82" t="s">
        <v>135</v>
      </c>
      <c r="J45" s="83"/>
      <c r="K45" s="84"/>
      <c r="L45" s="82" t="s">
        <v>136</v>
      </c>
      <c r="M45" s="83"/>
      <c r="N45" s="84"/>
      <c r="O45" s="82">
        <v>2026</v>
      </c>
      <c r="P45" s="83"/>
      <c r="Q45" s="68"/>
    </row>
    <row r="46" spans="3:17" ht="15" hidden="1" customHeight="1" thickBot="1" x14ac:dyDescent="0.3"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</row>
    <row r="47" spans="3:17" ht="30" hidden="1" customHeight="1" thickBot="1" x14ac:dyDescent="0.3">
      <c r="C47" s="68"/>
      <c r="D47" s="68"/>
      <c r="E47" s="77" t="s">
        <v>30</v>
      </c>
      <c r="F47" s="78"/>
      <c r="G47" s="82" t="s">
        <v>137</v>
      </c>
      <c r="H47" s="83"/>
      <c r="I47" s="82" t="s">
        <v>138</v>
      </c>
      <c r="J47" s="83"/>
      <c r="K47" s="84"/>
      <c r="L47" s="82" t="s">
        <v>139</v>
      </c>
      <c r="M47" s="83"/>
      <c r="N47" s="84"/>
      <c r="O47" s="82">
        <v>2020</v>
      </c>
      <c r="P47" s="83"/>
      <c r="Q47" s="68"/>
    </row>
    <row r="48" spans="3:17" hidden="1" x14ac:dyDescent="0.25"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</row>
    <row r="49" spans="3:17" ht="24" hidden="1" x14ac:dyDescent="0.4">
      <c r="C49" s="68"/>
      <c r="D49" s="68"/>
      <c r="E49" s="107" t="s">
        <v>31</v>
      </c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68"/>
    </row>
    <row r="50" spans="3:17" ht="15.75" hidden="1" thickBot="1" x14ac:dyDescent="0.3"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</row>
    <row r="51" spans="3:17" ht="24.95" hidden="1" customHeight="1" thickBot="1" x14ac:dyDescent="0.3">
      <c r="C51" s="68"/>
      <c r="D51" s="68"/>
      <c r="E51" s="77" t="s">
        <v>32</v>
      </c>
      <c r="F51" s="78"/>
      <c r="G51" s="91" t="s">
        <v>149</v>
      </c>
      <c r="H51" s="91"/>
      <c r="I51" s="92"/>
      <c r="J51" s="77" t="s">
        <v>33</v>
      </c>
      <c r="K51" s="78"/>
      <c r="L51" s="100">
        <v>37527</v>
      </c>
      <c r="M51" s="101"/>
      <c r="N51" s="88" t="s">
        <v>34</v>
      </c>
      <c r="O51" s="90">
        <f ca="1">IF(L51,DATEDIF(L51, TODAY(), "Y"),"")</f>
        <v>21</v>
      </c>
      <c r="P51" s="88" t="s">
        <v>7</v>
      </c>
      <c r="Q51" s="98" t="s">
        <v>106</v>
      </c>
    </row>
    <row r="52" spans="3:17" hidden="1" x14ac:dyDescent="0.25"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</row>
    <row r="53" spans="3:17" ht="15.75" hidden="1" thickBot="1" x14ac:dyDescent="0.3"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</row>
    <row r="54" spans="3:17" ht="30" hidden="1" customHeight="1" thickBot="1" x14ac:dyDescent="0.3">
      <c r="C54" s="68"/>
      <c r="D54" s="68"/>
      <c r="E54" s="85" t="s">
        <v>35</v>
      </c>
      <c r="F54" s="86"/>
      <c r="G54" s="89"/>
      <c r="H54" s="93" t="s">
        <v>142</v>
      </c>
      <c r="I54" s="94"/>
      <c r="J54" s="87" t="s">
        <v>34</v>
      </c>
      <c r="K54" s="93" t="s">
        <v>7</v>
      </c>
      <c r="L54" s="96"/>
      <c r="M54" s="68"/>
      <c r="N54" s="73"/>
      <c r="O54" s="68"/>
      <c r="P54" s="73"/>
      <c r="Q54" s="68"/>
    </row>
    <row r="55" spans="3:17" ht="24.95" hidden="1" customHeight="1" thickBot="1" x14ac:dyDescent="0.3">
      <c r="C55" s="68"/>
      <c r="D55" s="68"/>
      <c r="E55" s="95" t="s">
        <v>141</v>
      </c>
      <c r="F55" s="83"/>
      <c r="G55" s="84"/>
      <c r="H55" s="100">
        <v>37549</v>
      </c>
      <c r="I55" s="101"/>
      <c r="J55" s="90">
        <f ca="1">IF(H55,DATEDIF(H55, TODAY(), "Y"),"")</f>
        <v>21</v>
      </c>
      <c r="K55" s="91" t="s">
        <v>111</v>
      </c>
      <c r="L55" s="92"/>
      <c r="M55" s="68"/>
      <c r="N55" s="68"/>
      <c r="O55" s="68"/>
      <c r="P55" s="68"/>
      <c r="Q55" s="68"/>
    </row>
    <row r="56" spans="3:17" ht="24.95" hidden="1" customHeight="1" thickBot="1" x14ac:dyDescent="0.3">
      <c r="C56" s="68"/>
      <c r="D56" s="68"/>
      <c r="E56" s="95" t="s">
        <v>150</v>
      </c>
      <c r="F56" s="83"/>
      <c r="G56" s="84"/>
      <c r="H56" s="100">
        <v>29194</v>
      </c>
      <c r="I56" s="101"/>
      <c r="J56" s="90">
        <f ca="1">IF(H56,DATEDIF(H56, TODAY(), "Y"),"")</f>
        <v>44</v>
      </c>
      <c r="K56" s="91" t="s">
        <v>111</v>
      </c>
      <c r="L56" s="92"/>
      <c r="M56" s="68"/>
      <c r="N56" s="68"/>
      <c r="O56" s="68"/>
      <c r="P56" s="68"/>
      <c r="Q56" s="68"/>
    </row>
    <row r="57" spans="3:17" ht="24.95" hidden="1" customHeight="1" thickBot="1" x14ac:dyDescent="0.3">
      <c r="C57" s="68"/>
      <c r="D57" s="68"/>
      <c r="E57" s="95" t="s">
        <v>151</v>
      </c>
      <c r="F57" s="83"/>
      <c r="G57" s="84"/>
      <c r="H57" s="100">
        <v>44301</v>
      </c>
      <c r="I57" s="101"/>
      <c r="J57" s="90">
        <f ca="1">IF(H57,DATEDIF(H57, TODAY(), "Y"),"")</f>
        <v>3</v>
      </c>
      <c r="K57" s="91" t="s">
        <v>106</v>
      </c>
      <c r="L57" s="92"/>
      <c r="M57" s="68"/>
      <c r="N57" s="68"/>
      <c r="O57" s="68"/>
      <c r="P57" s="74"/>
      <c r="Q57" s="68"/>
    </row>
    <row r="58" spans="3:17" ht="24.95" hidden="1" customHeight="1" thickBot="1" x14ac:dyDescent="0.3">
      <c r="C58" s="68"/>
      <c r="D58" s="68"/>
      <c r="E58" s="95" t="s">
        <v>157</v>
      </c>
      <c r="F58" s="83"/>
      <c r="G58" s="84"/>
      <c r="H58" s="100">
        <v>36336</v>
      </c>
      <c r="I58" s="101"/>
      <c r="J58" s="90">
        <f ca="1">IF(H58,DATEDIF(H58, TODAY(), "Y"),"")</f>
        <v>24</v>
      </c>
      <c r="K58" s="91" t="s">
        <v>106</v>
      </c>
      <c r="L58" s="92"/>
      <c r="M58" s="68"/>
      <c r="N58" s="68"/>
      <c r="O58" s="68"/>
      <c r="P58" s="68"/>
      <c r="Q58" s="68"/>
    </row>
    <row r="59" spans="3:17" ht="24.95" hidden="1" customHeight="1" thickBot="1" x14ac:dyDescent="0.3">
      <c r="C59" s="68"/>
      <c r="D59" s="68"/>
      <c r="E59" s="95"/>
      <c r="F59" s="83"/>
      <c r="G59" s="84"/>
      <c r="H59" s="100"/>
      <c r="I59" s="101"/>
      <c r="J59" s="90" t="str">
        <f ca="1">IF(H59,DATEDIF(H59, TODAY(), "Y"),"")</f>
        <v/>
      </c>
      <c r="K59" s="91"/>
      <c r="L59" s="92"/>
      <c r="M59" s="68"/>
      <c r="N59" s="68"/>
      <c r="O59" s="68"/>
      <c r="P59" s="68"/>
      <c r="Q59" s="68"/>
    </row>
    <row r="60" spans="3:17" ht="24.95" hidden="1" customHeight="1" thickBot="1" x14ac:dyDescent="0.3">
      <c r="C60" s="68"/>
      <c r="D60" s="68"/>
      <c r="E60" s="95"/>
      <c r="F60" s="83"/>
      <c r="G60" s="84"/>
      <c r="H60" s="100"/>
      <c r="I60" s="101"/>
      <c r="J60" s="90" t="str">
        <f ca="1">IF(H60,DATEDIF(H60, TODAY(), "Y"),"")</f>
        <v/>
      </c>
      <c r="K60" s="91"/>
      <c r="L60" s="92"/>
      <c r="M60" s="68"/>
      <c r="N60" s="68"/>
      <c r="O60" s="68"/>
      <c r="P60" s="68"/>
      <c r="Q60" s="68"/>
    </row>
    <row r="61" spans="3:17" hidden="1" x14ac:dyDescent="0.25"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3:17" ht="15.75" hidden="1" thickBot="1" x14ac:dyDescent="0.3">
      <c r="C62" s="68"/>
      <c r="D62" s="68"/>
      <c r="E62" s="75" t="s">
        <v>36</v>
      </c>
      <c r="F62" s="75"/>
      <c r="G62" s="75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3:17" ht="24.95" hidden="1" customHeight="1" thickBot="1" x14ac:dyDescent="0.3">
      <c r="C63" s="68"/>
      <c r="D63" s="68"/>
      <c r="E63" s="88" t="s">
        <v>37</v>
      </c>
      <c r="F63" s="91" t="s">
        <v>152</v>
      </c>
      <c r="G63" s="91"/>
      <c r="H63" s="92"/>
      <c r="I63" s="88" t="s">
        <v>38</v>
      </c>
      <c r="J63" s="91" t="s">
        <v>153</v>
      </c>
      <c r="K63" s="91"/>
      <c r="L63" s="92"/>
      <c r="M63" s="88" t="s">
        <v>39</v>
      </c>
      <c r="N63" s="91">
        <v>78915050</v>
      </c>
      <c r="O63" s="92"/>
      <c r="P63" s="72"/>
      <c r="Q63" s="72"/>
    </row>
    <row r="64" spans="3:17" hidden="1" x14ac:dyDescent="0.25"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3:17" hidden="1" x14ac:dyDescent="0.25"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3:17" ht="24" hidden="1" x14ac:dyDescent="0.4">
      <c r="C66" s="68"/>
      <c r="D66" s="68"/>
      <c r="E66" s="107" t="s">
        <v>40</v>
      </c>
      <c r="F66" s="107"/>
      <c r="G66" s="107"/>
      <c r="H66" s="107"/>
      <c r="I66" s="107"/>
      <c r="J66" s="107"/>
      <c r="K66" s="107"/>
      <c r="L66" s="107"/>
      <c r="M66" s="107"/>
      <c r="N66" s="107"/>
      <c r="O66" s="70"/>
      <c r="P66" s="70"/>
      <c r="Q66" s="68"/>
    </row>
    <row r="67" spans="3:17" ht="15.75" hidden="1" thickBot="1" x14ac:dyDescent="0.3"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3:17" ht="30" hidden="1" customHeight="1" thickBot="1" x14ac:dyDescent="0.3">
      <c r="C68" s="68"/>
      <c r="D68" s="68"/>
      <c r="E68" s="85" t="s">
        <v>41</v>
      </c>
      <c r="F68" s="86"/>
      <c r="G68" s="89"/>
      <c r="H68" s="93" t="s">
        <v>142</v>
      </c>
      <c r="I68" s="94"/>
      <c r="J68" s="85" t="s">
        <v>38</v>
      </c>
      <c r="K68" s="86"/>
      <c r="L68" s="97" t="s">
        <v>42</v>
      </c>
      <c r="M68" s="68"/>
      <c r="N68" s="68"/>
      <c r="O68" s="68"/>
      <c r="P68" s="68"/>
      <c r="Q68" s="68"/>
    </row>
    <row r="69" spans="3:17" ht="24.95" hidden="1" customHeight="1" thickBot="1" x14ac:dyDescent="0.3">
      <c r="C69" s="68"/>
      <c r="D69" s="68"/>
      <c r="E69" s="95" t="s">
        <v>141</v>
      </c>
      <c r="F69" s="83"/>
      <c r="G69" s="84"/>
      <c r="H69" s="100">
        <v>37549</v>
      </c>
      <c r="I69" s="101"/>
      <c r="J69" s="99" t="s">
        <v>154</v>
      </c>
      <c r="K69" s="91"/>
      <c r="L69" s="102">
        <v>0.25</v>
      </c>
      <c r="M69" s="68"/>
      <c r="N69" s="68"/>
      <c r="O69" s="68"/>
      <c r="P69" s="68"/>
      <c r="Q69" s="68"/>
    </row>
    <row r="70" spans="3:17" ht="24.95" hidden="1" customHeight="1" thickBot="1" x14ac:dyDescent="0.3">
      <c r="C70" s="68"/>
      <c r="D70" s="68"/>
      <c r="E70" s="95" t="s">
        <v>150</v>
      </c>
      <c r="F70" s="83"/>
      <c r="G70" s="84"/>
      <c r="H70" s="100">
        <v>29194</v>
      </c>
      <c r="I70" s="101"/>
      <c r="J70" s="99" t="s">
        <v>154</v>
      </c>
      <c r="K70" s="91"/>
      <c r="L70" s="102">
        <v>0.25</v>
      </c>
      <c r="M70" s="68"/>
      <c r="N70" s="68"/>
      <c r="O70" s="68"/>
      <c r="P70" s="68"/>
      <c r="Q70" s="68"/>
    </row>
    <row r="71" spans="3:17" ht="24.95" hidden="1" customHeight="1" thickBot="1" x14ac:dyDescent="0.3">
      <c r="C71" s="68"/>
      <c r="D71" s="68"/>
      <c r="E71" s="95" t="s">
        <v>151</v>
      </c>
      <c r="F71" s="83"/>
      <c r="G71" s="84"/>
      <c r="H71" s="100">
        <v>44301</v>
      </c>
      <c r="I71" s="101"/>
      <c r="J71" s="99" t="s">
        <v>154</v>
      </c>
      <c r="K71" s="91"/>
      <c r="L71" s="102">
        <v>0.5</v>
      </c>
      <c r="M71" s="68"/>
      <c r="N71" s="68"/>
      <c r="O71" s="68"/>
      <c r="P71" s="68"/>
      <c r="Q71" s="68"/>
    </row>
    <row r="72" spans="3:17" hidden="1" x14ac:dyDescent="0.25"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3:17" hidden="1" x14ac:dyDescent="0.25"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</row>
    <row r="74" spans="3:17" hidden="1" x14ac:dyDescent="0.25"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3:17" hidden="1" x14ac:dyDescent="0.25"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</row>
    <row r="76" spans="3:17" x14ac:dyDescent="0.25"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</row>
    <row r="77" spans="3:17" x14ac:dyDescent="0.25"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</row>
    <row r="78" spans="3:17" x14ac:dyDescent="0.25">
      <c r="C78" s="68"/>
      <c r="D78" s="68"/>
      <c r="E78" s="68"/>
      <c r="F78" s="68"/>
      <c r="G78" s="68"/>
      <c r="H78" s="68"/>
      <c r="I78" s="74"/>
      <c r="J78" s="68"/>
      <c r="K78" s="68"/>
      <c r="L78" s="68"/>
      <c r="M78" s="68"/>
      <c r="N78" s="68"/>
      <c r="O78" s="68"/>
      <c r="P78" s="68"/>
      <c r="Q78" s="68"/>
    </row>
    <row r="79" spans="3:17" x14ac:dyDescent="0.25"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</row>
    <row r="80" spans="3:17" x14ac:dyDescent="0.25"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</row>
    <row r="81" spans="3:17" x14ac:dyDescent="0.25">
      <c r="C81" s="68"/>
      <c r="D81" s="68"/>
      <c r="E81" s="73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</row>
    <row r="82" spans="3:17" x14ac:dyDescent="0.25"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</row>
    <row r="83" spans="3:17" x14ac:dyDescent="0.25"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</row>
    <row r="84" spans="3:17" x14ac:dyDescent="0.25"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</row>
    <row r="85" spans="3:17" x14ac:dyDescent="0.25"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</row>
    <row r="86" spans="3:17" x14ac:dyDescent="0.25"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</row>
    <row r="87" spans="3:17" x14ac:dyDescent="0.25"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3:17" x14ac:dyDescent="0.25"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</row>
    <row r="89" spans="3:17" x14ac:dyDescent="0.25"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</row>
    <row r="90" spans="3:17" x14ac:dyDescent="0.25"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</row>
    <row r="91" spans="3:17" x14ac:dyDescent="0.25"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</row>
    <row r="92" spans="3:17" ht="35.1" customHeight="1" x14ac:dyDescent="0.25"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</row>
    <row r="93" spans="3:17" x14ac:dyDescent="0.25"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</row>
    <row r="94" spans="3:17" x14ac:dyDescent="0.25"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</row>
    <row r="95" spans="3:17" x14ac:dyDescent="0.25"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</row>
    <row r="96" spans="3:17" x14ac:dyDescent="0.25"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</row>
    <row r="97" spans="3:17" x14ac:dyDescent="0.25"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</row>
    <row r="98" spans="3:17" x14ac:dyDescent="0.25"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</row>
    <row r="99" spans="3:17" x14ac:dyDescent="0.25"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</row>
    <row r="100" spans="3:17" x14ac:dyDescent="0.25"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</row>
    <row r="101" spans="3:17" x14ac:dyDescent="0.25"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</row>
    <row r="102" spans="3:17" x14ac:dyDescent="0.25"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</row>
    <row r="103" spans="3:17" x14ac:dyDescent="0.25"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</row>
    <row r="104" spans="3:17" x14ac:dyDescent="0.25"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</sheetData>
  <mergeCells count="121">
    <mergeCell ref="C3:O4"/>
    <mergeCell ref="H69:I69"/>
    <mergeCell ref="O66:P66"/>
    <mergeCell ref="G20:I20"/>
    <mergeCell ref="L12:N12"/>
    <mergeCell ref="L14:N14"/>
    <mergeCell ref="L16:N16"/>
    <mergeCell ref="L18:N18"/>
    <mergeCell ref="L20:N20"/>
    <mergeCell ref="J16:K16"/>
    <mergeCell ref="J18:K18"/>
    <mergeCell ref="J20:K20"/>
    <mergeCell ref="E38:P38"/>
    <mergeCell ref="E41:F41"/>
    <mergeCell ref="E43:F43"/>
    <mergeCell ref="E45:F45"/>
    <mergeCell ref="E47:F47"/>
    <mergeCell ref="L40:N40"/>
    <mergeCell ref="E51:F51"/>
    <mergeCell ref="J51:K51"/>
    <mergeCell ref="A1:B1"/>
    <mergeCell ref="F63:H63"/>
    <mergeCell ref="E8:F8"/>
    <mergeCell ref="H8:I8"/>
    <mergeCell ref="J8:K8"/>
    <mergeCell ref="G12:I12"/>
    <mergeCell ref="G14:I14"/>
    <mergeCell ref="G16:I16"/>
    <mergeCell ref="G18:I18"/>
    <mergeCell ref="E12:F12"/>
    <mergeCell ref="E14:F14"/>
    <mergeCell ref="E16:F16"/>
    <mergeCell ref="E55:G55"/>
    <mergeCell ref="E56:G56"/>
    <mergeCell ref="E57:G57"/>
    <mergeCell ref="E58:G58"/>
    <mergeCell ref="E60:G60"/>
    <mergeCell ref="H59:I59"/>
    <mergeCell ref="H60:I60"/>
    <mergeCell ref="K57:L57"/>
    <mergeCell ref="K58:L58"/>
    <mergeCell ref="K59:L59"/>
    <mergeCell ref="K60:L60"/>
    <mergeCell ref="E59:G59"/>
    <mergeCell ref="J12:K12"/>
    <mergeCell ref="J14:K14"/>
    <mergeCell ref="L8:M8"/>
    <mergeCell ref="E49:P49"/>
    <mergeCell ref="E5:F5"/>
    <mergeCell ref="G5:H5"/>
    <mergeCell ref="G51:I51"/>
    <mergeCell ref="L51:M51"/>
    <mergeCell ref="G33:I33"/>
    <mergeCell ref="G35:I35"/>
    <mergeCell ref="L35:N35"/>
    <mergeCell ref="L33:N33"/>
    <mergeCell ref="L31:N31"/>
    <mergeCell ref="E10:N10"/>
    <mergeCell ref="E25:N25"/>
    <mergeCell ref="G27:I27"/>
    <mergeCell ref="G29:I29"/>
    <mergeCell ref="G31:I31"/>
    <mergeCell ref="L29:N29"/>
    <mergeCell ref="L27:N27"/>
    <mergeCell ref="L22:N22"/>
    <mergeCell ref="E18:F18"/>
    <mergeCell ref="E20:F20"/>
    <mergeCell ref="E35:F35"/>
    <mergeCell ref="J27:K27"/>
    <mergeCell ref="J29:K29"/>
    <mergeCell ref="J31:K31"/>
    <mergeCell ref="J33:K33"/>
    <mergeCell ref="J35:K35"/>
    <mergeCell ref="J22:K22"/>
    <mergeCell ref="E27:F27"/>
    <mergeCell ref="E29:F29"/>
    <mergeCell ref="E31:F31"/>
    <mergeCell ref="E33:F33"/>
    <mergeCell ref="L45:N45"/>
    <mergeCell ref="G41:H41"/>
    <mergeCell ref="G43:H43"/>
    <mergeCell ref="G45:H45"/>
    <mergeCell ref="G47:H47"/>
    <mergeCell ref="O40:P40"/>
    <mergeCell ref="I47:K47"/>
    <mergeCell ref="G40:H40"/>
    <mergeCell ref="I40:K40"/>
    <mergeCell ref="O41:P41"/>
    <mergeCell ref="O43:P43"/>
    <mergeCell ref="O45:P45"/>
    <mergeCell ref="O47:P47"/>
    <mergeCell ref="L47:N47"/>
    <mergeCell ref="I41:K41"/>
    <mergeCell ref="I43:K43"/>
    <mergeCell ref="I45:K45"/>
    <mergeCell ref="L41:N41"/>
    <mergeCell ref="L43:N43"/>
    <mergeCell ref="H70:I70"/>
    <mergeCell ref="H71:I71"/>
    <mergeCell ref="J70:K70"/>
    <mergeCell ref="J71:K71"/>
    <mergeCell ref="E54:G54"/>
    <mergeCell ref="H55:I55"/>
    <mergeCell ref="H56:I56"/>
    <mergeCell ref="H54:I54"/>
    <mergeCell ref="K55:L55"/>
    <mergeCell ref="K56:L56"/>
    <mergeCell ref="K54:L54"/>
    <mergeCell ref="E66:N66"/>
    <mergeCell ref="H58:I58"/>
    <mergeCell ref="E62:G62"/>
    <mergeCell ref="J63:L63"/>
    <mergeCell ref="E69:G69"/>
    <mergeCell ref="E70:G70"/>
    <mergeCell ref="E71:G71"/>
    <mergeCell ref="N63:O63"/>
    <mergeCell ref="E68:G68"/>
    <mergeCell ref="J68:K68"/>
    <mergeCell ref="J69:K69"/>
    <mergeCell ref="H57:I57"/>
    <mergeCell ref="H68:I68"/>
  </mergeCells>
  <conditionalFormatting sqref="E8:M8">
    <cfRule type="expression" dxfId="0" priority="1">
      <formula>$B$2=COLUMN()</formula>
    </cfRule>
  </conditionalFormatting>
  <dataValidations count="2">
    <dataValidation type="list" allowBlank="1" showInputMessage="1" showErrorMessage="1" sqref="L18:N18" xr:uid="{992F2E90-D383-465F-BDB3-934345A9FC27}">
      <formula1>$A$15:$A$16</formula1>
    </dataValidation>
    <dataValidation type="list" allowBlank="1" showInputMessage="1" showErrorMessage="1" sqref="L22:N22" xr:uid="{F072ABA1-016C-4936-87FE-0C5E2D7488E8}">
      <formula1>$A$20:$A$22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07F1-AD45-4E33-ACAA-29480E4AB04B}">
  <sheetPr codeName="Formato"/>
  <dimension ref="B3:O54"/>
  <sheetViews>
    <sheetView workbookViewId="0">
      <selection activeCell="K53" sqref="K53"/>
    </sheetView>
  </sheetViews>
  <sheetFormatPr defaultRowHeight="15" x14ac:dyDescent="0.25"/>
  <cols>
    <col min="2" max="2" width="13.42578125" customWidth="1"/>
    <col min="9" max="9" width="12.7109375" customWidth="1"/>
    <col min="10" max="10" width="12.5703125" customWidth="1"/>
    <col min="15" max="15" width="14.5703125" bestFit="1" customWidth="1"/>
  </cols>
  <sheetData>
    <row r="3" spans="2:15" ht="15.75" thickBot="1" x14ac:dyDescent="0.3"/>
    <row r="4" spans="2:15" ht="15.75" thickBot="1" x14ac:dyDescent="0.3">
      <c r="M4" s="15" t="s">
        <v>43</v>
      </c>
      <c r="N4" s="15"/>
      <c r="O4" s="64">
        <f ca="1">NOW()</f>
        <v>45466.975607060187</v>
      </c>
    </row>
    <row r="5" spans="2:15" ht="15.75" thickBot="1" x14ac:dyDescent="0.3">
      <c r="M5" s="15" t="s">
        <v>44</v>
      </c>
      <c r="N5" s="15"/>
      <c r="O5" s="15"/>
    </row>
    <row r="6" spans="2:15" x14ac:dyDescent="0.25">
      <c r="B6" s="60" t="s">
        <v>107</v>
      </c>
      <c r="C6" s="61"/>
      <c r="D6" s="61"/>
      <c r="E6" s="62"/>
      <c r="H6" s="59">
        <v>34894</v>
      </c>
      <c r="I6" s="58"/>
      <c r="J6" s="58"/>
      <c r="K6" s="58"/>
    </row>
    <row r="7" spans="2:15" x14ac:dyDescent="0.25">
      <c r="B7" s="60" t="s">
        <v>108</v>
      </c>
      <c r="C7" s="61"/>
      <c r="D7" s="61"/>
      <c r="E7" s="62"/>
      <c r="H7" s="58">
        <v>29</v>
      </c>
      <c r="I7" s="58"/>
      <c r="J7" s="58"/>
      <c r="K7" s="58"/>
    </row>
    <row r="8" spans="2:15" x14ac:dyDescent="0.25">
      <c r="B8" s="60" t="s">
        <v>109</v>
      </c>
      <c r="C8" s="61"/>
      <c r="D8" s="61"/>
      <c r="E8" s="62"/>
      <c r="H8" s="58" t="s">
        <v>111</v>
      </c>
      <c r="I8" s="58"/>
      <c r="J8" s="58"/>
      <c r="K8" s="58"/>
    </row>
    <row r="9" spans="2:15" x14ac:dyDescent="0.25">
      <c r="B9" s="60" t="s">
        <v>110</v>
      </c>
      <c r="C9" s="61"/>
      <c r="D9" s="61"/>
      <c r="E9" s="62"/>
      <c r="H9" s="58" t="s">
        <v>144</v>
      </c>
      <c r="I9" s="58"/>
      <c r="J9" s="58"/>
      <c r="K9" s="58"/>
    </row>
    <row r="10" spans="2:15" x14ac:dyDescent="0.25">
      <c r="B10" s="60" t="s">
        <v>158</v>
      </c>
      <c r="C10" s="61"/>
      <c r="D10" s="61"/>
      <c r="E10" s="62"/>
      <c r="H10" s="58">
        <v>4449814</v>
      </c>
      <c r="I10" s="58"/>
      <c r="J10" s="58"/>
      <c r="K10" s="58"/>
    </row>
    <row r="11" spans="2:15" x14ac:dyDescent="0.25">
      <c r="H11" s="58" t="s">
        <v>146</v>
      </c>
      <c r="I11" s="58"/>
      <c r="J11" s="58"/>
      <c r="K11" s="58"/>
    </row>
    <row r="16" spans="2:15" ht="15.75" thickBot="1" x14ac:dyDescent="0.3">
      <c r="B16" t="s">
        <v>156</v>
      </c>
    </row>
    <row r="17" spans="2:14" ht="15.75" thickBot="1" x14ac:dyDescent="0.3">
      <c r="B17" s="48" t="s">
        <v>11</v>
      </c>
      <c r="C17" s="49"/>
      <c r="D17" s="58" t="s">
        <v>127</v>
      </c>
      <c r="E17" s="58"/>
      <c r="F17" s="58"/>
      <c r="G17" s="58"/>
      <c r="I17" s="48" t="s">
        <v>15</v>
      </c>
      <c r="J17" s="49"/>
      <c r="K17" s="58" t="s">
        <v>124</v>
      </c>
      <c r="L17" s="58"/>
      <c r="M17" s="58"/>
      <c r="N17" s="58"/>
    </row>
    <row r="18" spans="2:14" ht="15.75" thickBot="1" x14ac:dyDescent="0.3">
      <c r="B18" s="9"/>
      <c r="C18" s="8"/>
      <c r="I18" s="6"/>
      <c r="J18" s="6"/>
    </row>
    <row r="19" spans="2:14" ht="15.75" thickBot="1" x14ac:dyDescent="0.3">
      <c r="B19" s="48" t="s">
        <v>12</v>
      </c>
      <c r="C19" s="49"/>
      <c r="D19" s="59">
        <v>44126</v>
      </c>
      <c r="E19" s="58"/>
      <c r="F19" s="58"/>
      <c r="G19" s="58"/>
      <c r="I19" s="48" t="s">
        <v>16</v>
      </c>
      <c r="J19" s="49"/>
      <c r="K19" s="58" t="s">
        <v>124</v>
      </c>
      <c r="L19" s="58"/>
      <c r="M19" s="58"/>
      <c r="N19" s="58"/>
    </row>
    <row r="20" spans="2:14" ht="15.75" thickBot="1" x14ac:dyDescent="0.3">
      <c r="B20" s="9"/>
      <c r="C20" s="8"/>
      <c r="I20" s="6"/>
      <c r="J20" s="6"/>
    </row>
    <row r="21" spans="2:14" ht="15.75" thickBot="1" x14ac:dyDescent="0.3">
      <c r="B21" s="48" t="s">
        <v>13</v>
      </c>
      <c r="C21" s="49"/>
      <c r="D21" s="59">
        <v>46013</v>
      </c>
      <c r="E21" s="58"/>
      <c r="F21" s="58"/>
      <c r="G21" s="58"/>
      <c r="I21" s="48" t="s">
        <v>17</v>
      </c>
      <c r="J21" s="49"/>
      <c r="K21" s="58" t="s">
        <v>123</v>
      </c>
      <c r="L21" s="58"/>
      <c r="M21" s="58"/>
      <c r="N21" s="58"/>
    </row>
    <row r="22" spans="2:14" ht="15.75" thickBot="1" x14ac:dyDescent="0.3">
      <c r="B22" s="9"/>
      <c r="C22" s="8"/>
      <c r="I22" s="6"/>
      <c r="J22" s="6"/>
    </row>
    <row r="23" spans="2:14" ht="15.75" thickBot="1" x14ac:dyDescent="0.3">
      <c r="B23" s="48" t="s">
        <v>14</v>
      </c>
      <c r="C23" s="49"/>
      <c r="D23" s="58" t="s">
        <v>121</v>
      </c>
      <c r="E23" s="58"/>
      <c r="F23" s="58"/>
      <c r="G23" s="58"/>
      <c r="I23" s="48" t="s">
        <v>18</v>
      </c>
      <c r="J23" s="49"/>
      <c r="K23" s="58" t="s">
        <v>122</v>
      </c>
      <c r="L23" s="58"/>
      <c r="M23" s="58"/>
      <c r="N23" s="58"/>
    </row>
    <row r="24" spans="2:14" ht="15.75" thickBot="1" x14ac:dyDescent="0.3">
      <c r="B24" s="9"/>
      <c r="C24" s="8"/>
      <c r="I24" s="6"/>
      <c r="J24" s="6"/>
    </row>
    <row r="25" spans="2:14" ht="15.75" thickBot="1" x14ac:dyDescent="0.3">
      <c r="B25" s="48" t="s">
        <v>20</v>
      </c>
      <c r="C25" s="49"/>
      <c r="D25" s="58" t="s">
        <v>126</v>
      </c>
      <c r="E25" s="58"/>
      <c r="F25" s="58"/>
      <c r="G25" s="58"/>
      <c r="I25" s="48" t="s">
        <v>19</v>
      </c>
      <c r="J25" s="49"/>
      <c r="K25" s="58" t="s">
        <v>125</v>
      </c>
      <c r="L25" s="58"/>
      <c r="M25" s="58"/>
      <c r="N25" s="58"/>
    </row>
    <row r="28" spans="2:14" ht="15.75" thickBot="1" x14ac:dyDescent="0.3"/>
    <row r="29" spans="2:14" ht="15.75" thickBot="1" x14ac:dyDescent="0.3">
      <c r="B29" s="48" t="s">
        <v>23</v>
      </c>
      <c r="C29" s="49"/>
      <c r="D29" s="47" t="s">
        <v>128</v>
      </c>
      <c r="E29" s="47"/>
      <c r="F29" s="47" t="s">
        <v>129</v>
      </c>
      <c r="G29" s="47"/>
      <c r="H29" s="47"/>
      <c r="I29" s="47" t="s">
        <v>130</v>
      </c>
      <c r="J29" s="47"/>
      <c r="K29" s="47"/>
      <c r="L29" s="44">
        <v>2018</v>
      </c>
      <c r="M29" s="44"/>
    </row>
    <row r="30" spans="2:14" ht="15.75" thickBot="1" x14ac:dyDescent="0.3">
      <c r="B30" s="48" t="s">
        <v>28</v>
      </c>
      <c r="C30" s="49"/>
      <c r="D30" s="47" t="s">
        <v>131</v>
      </c>
      <c r="E30" s="47"/>
      <c r="F30" s="47" t="s">
        <v>132</v>
      </c>
      <c r="G30" s="47"/>
      <c r="H30" s="47"/>
      <c r="I30" s="47" t="s">
        <v>133</v>
      </c>
      <c r="J30" s="47"/>
      <c r="K30" s="47"/>
      <c r="L30" s="44">
        <v>2020</v>
      </c>
      <c r="M30" s="44"/>
    </row>
    <row r="31" spans="2:14" ht="15.75" thickBot="1" x14ac:dyDescent="0.3">
      <c r="B31" s="48" t="s">
        <v>29</v>
      </c>
      <c r="C31" s="49"/>
      <c r="D31" s="47" t="s">
        <v>134</v>
      </c>
      <c r="E31" s="47"/>
      <c r="F31" s="47" t="s">
        <v>135</v>
      </c>
      <c r="G31" s="47"/>
      <c r="H31" s="47"/>
      <c r="I31" s="47" t="s">
        <v>136</v>
      </c>
      <c r="J31" s="47"/>
      <c r="K31" s="47"/>
      <c r="L31" s="44">
        <v>2026</v>
      </c>
      <c r="M31" s="44"/>
    </row>
    <row r="32" spans="2:14" ht="15.75" thickBot="1" x14ac:dyDescent="0.3">
      <c r="B32" s="48" t="s">
        <v>30</v>
      </c>
      <c r="C32" s="49"/>
      <c r="D32" s="47" t="s">
        <v>137</v>
      </c>
      <c r="E32" s="47"/>
      <c r="F32" s="47" t="s">
        <v>138</v>
      </c>
      <c r="G32" s="47"/>
      <c r="H32" s="47"/>
      <c r="I32" s="47" t="s">
        <v>139</v>
      </c>
      <c r="J32" s="47"/>
      <c r="K32" s="47"/>
      <c r="L32" s="44">
        <v>2020</v>
      </c>
      <c r="M32" s="44"/>
    </row>
    <row r="35" spans="2:14" ht="15.75" thickBot="1" x14ac:dyDescent="0.3"/>
    <row r="36" spans="2:14" ht="15.75" thickBot="1" x14ac:dyDescent="0.3">
      <c r="B36" s="48" t="s">
        <v>32</v>
      </c>
      <c r="C36" s="49"/>
      <c r="D36" s="50" t="s">
        <v>149</v>
      </c>
      <c r="E36" s="51"/>
      <c r="F36" s="52"/>
      <c r="G36" s="48" t="s">
        <v>33</v>
      </c>
      <c r="H36" s="49"/>
      <c r="I36" s="53">
        <v>37527</v>
      </c>
      <c r="J36" s="51"/>
      <c r="K36" s="11" t="s">
        <v>34</v>
      </c>
      <c r="L36" s="12">
        <v>21</v>
      </c>
      <c r="M36" s="11" t="s">
        <v>7</v>
      </c>
      <c r="N36" s="10" t="s">
        <v>106</v>
      </c>
    </row>
    <row r="37" spans="2:14" x14ac:dyDescent="0.2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2:14" x14ac:dyDescent="0.2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2:14" ht="15.75" thickBot="1" x14ac:dyDescent="0.3">
      <c r="B39" s="35" t="s">
        <v>35</v>
      </c>
      <c r="C39" s="36"/>
      <c r="D39" s="36"/>
      <c r="E39" s="38" t="s">
        <v>142</v>
      </c>
      <c r="F39" s="39"/>
      <c r="G39" s="13" t="s">
        <v>34</v>
      </c>
      <c r="H39" s="35" t="s">
        <v>7</v>
      </c>
      <c r="I39" s="36"/>
      <c r="J39" s="5"/>
      <c r="K39" s="6"/>
      <c r="L39" s="5"/>
      <c r="M39" s="6"/>
      <c r="N39" s="5"/>
    </row>
    <row r="40" spans="2:14" ht="15.75" thickBot="1" x14ac:dyDescent="0.3">
      <c r="B40" s="40" t="s">
        <v>141</v>
      </c>
      <c r="C40" s="40"/>
      <c r="D40" s="40"/>
      <c r="E40" s="37">
        <v>37549</v>
      </c>
      <c r="F40" s="37"/>
      <c r="G40" s="14">
        <v>21</v>
      </c>
      <c r="H40" s="40" t="s">
        <v>111</v>
      </c>
      <c r="I40" s="40"/>
      <c r="J40" s="5"/>
      <c r="K40" s="5"/>
      <c r="L40" s="5"/>
      <c r="M40" s="5"/>
      <c r="N40" s="5"/>
    </row>
    <row r="41" spans="2:14" ht="15.75" thickBot="1" x14ac:dyDescent="0.3">
      <c r="B41" s="40" t="s">
        <v>150</v>
      </c>
      <c r="C41" s="40"/>
      <c r="D41" s="40"/>
      <c r="E41" s="37">
        <v>29194</v>
      </c>
      <c r="F41" s="37"/>
      <c r="G41" s="14">
        <v>44</v>
      </c>
      <c r="H41" s="40" t="s">
        <v>111</v>
      </c>
      <c r="I41" s="40"/>
      <c r="J41" s="5"/>
      <c r="K41" s="5"/>
      <c r="L41" s="5"/>
      <c r="M41" s="5"/>
      <c r="N41" s="5"/>
    </row>
    <row r="42" spans="2:14" ht="15.75" thickBot="1" x14ac:dyDescent="0.3">
      <c r="B42" s="40" t="s">
        <v>151</v>
      </c>
      <c r="C42" s="40"/>
      <c r="D42" s="40"/>
      <c r="E42" s="37">
        <v>44301</v>
      </c>
      <c r="F42" s="37"/>
      <c r="G42" s="14">
        <v>3</v>
      </c>
      <c r="H42" s="40" t="s">
        <v>106</v>
      </c>
      <c r="I42" s="40"/>
      <c r="J42" s="5"/>
      <c r="K42" s="5"/>
      <c r="L42" s="5"/>
      <c r="M42" s="18"/>
      <c r="N42" s="5"/>
    </row>
    <row r="43" spans="2:14" ht="15.75" thickBot="1" x14ac:dyDescent="0.3">
      <c r="B43" s="40" t="s">
        <v>157</v>
      </c>
      <c r="C43" s="40"/>
      <c r="D43" s="40"/>
      <c r="E43" s="37">
        <v>36336</v>
      </c>
      <c r="F43" s="37"/>
      <c r="G43" s="14">
        <v>24</v>
      </c>
      <c r="H43" s="40" t="s">
        <v>106</v>
      </c>
      <c r="I43" s="40"/>
      <c r="J43" s="5"/>
      <c r="K43" s="5"/>
      <c r="L43" s="5"/>
      <c r="M43" s="5"/>
      <c r="N43" s="5"/>
    </row>
    <row r="44" spans="2:14" ht="15.75" thickBot="1" x14ac:dyDescent="0.3">
      <c r="B44" s="43"/>
      <c r="C44" s="55"/>
      <c r="D44" s="42"/>
      <c r="E44" s="37"/>
      <c r="F44" s="37"/>
      <c r="G44" s="14"/>
      <c r="H44" s="40"/>
      <c r="I44" s="40"/>
      <c r="J44" s="5"/>
      <c r="K44" s="5"/>
      <c r="L44" s="5"/>
      <c r="M44" s="5"/>
      <c r="N44" s="5"/>
    </row>
    <row r="45" spans="2:14" ht="15.75" thickBot="1" x14ac:dyDescent="0.3">
      <c r="B45" s="40"/>
      <c r="C45" s="40"/>
      <c r="D45" s="40"/>
      <c r="E45" s="37"/>
      <c r="F45" s="37"/>
      <c r="G45" s="14"/>
      <c r="H45" s="40"/>
      <c r="I45" s="40"/>
      <c r="J45" s="5"/>
      <c r="K45" s="5"/>
      <c r="L45" s="5"/>
      <c r="M45" s="5"/>
      <c r="N45" s="5"/>
    </row>
    <row r="46" spans="2:14" x14ac:dyDescent="0.2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2:14" ht="15.75" thickBot="1" x14ac:dyDescent="0.3">
      <c r="B47" s="41" t="s">
        <v>36</v>
      </c>
      <c r="C47" s="41"/>
      <c r="D47" s="41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2:14" ht="15.75" thickBot="1" x14ac:dyDescent="0.3">
      <c r="B48" s="17" t="s">
        <v>37</v>
      </c>
      <c r="C48" s="50" t="s">
        <v>152</v>
      </c>
      <c r="D48" s="51"/>
      <c r="E48" s="52"/>
      <c r="F48" s="17" t="s">
        <v>38</v>
      </c>
      <c r="G48" s="42" t="s">
        <v>153</v>
      </c>
      <c r="H48" s="40"/>
      <c r="I48" s="43"/>
      <c r="J48" s="17" t="s">
        <v>39</v>
      </c>
      <c r="K48" s="45">
        <v>78915050</v>
      </c>
      <c r="L48" s="46"/>
      <c r="M48" s="7"/>
      <c r="N48" s="7"/>
    </row>
    <row r="51" spans="2:9" ht="15.75" thickBot="1" x14ac:dyDescent="0.3">
      <c r="B51" s="35" t="s">
        <v>41</v>
      </c>
      <c r="C51" s="36"/>
      <c r="D51" s="36"/>
      <c r="E51" s="56" t="s">
        <v>142</v>
      </c>
      <c r="F51" s="57"/>
      <c r="G51" s="35" t="s">
        <v>38</v>
      </c>
      <c r="H51" s="36"/>
      <c r="I51" s="16" t="s">
        <v>42</v>
      </c>
    </row>
    <row r="52" spans="2:9" ht="15.75" thickBot="1" x14ac:dyDescent="0.3">
      <c r="B52" s="44" t="s">
        <v>141</v>
      </c>
      <c r="C52" s="44"/>
      <c r="D52" s="44"/>
      <c r="E52" s="32">
        <v>37549</v>
      </c>
      <c r="F52" s="33"/>
      <c r="G52" s="34" t="s">
        <v>154</v>
      </c>
      <c r="H52" s="33"/>
      <c r="I52" s="21">
        <v>0.25</v>
      </c>
    </row>
    <row r="53" spans="2:9" ht="15.75" thickBot="1" x14ac:dyDescent="0.3">
      <c r="B53" s="44" t="s">
        <v>150</v>
      </c>
      <c r="C53" s="44"/>
      <c r="D53" s="44"/>
      <c r="E53" s="32">
        <v>29194</v>
      </c>
      <c r="F53" s="33"/>
      <c r="G53" s="34" t="s">
        <v>154</v>
      </c>
      <c r="H53" s="33"/>
      <c r="I53" s="21">
        <v>0.25</v>
      </c>
    </row>
    <row r="54" spans="2:9" ht="15.75" thickBot="1" x14ac:dyDescent="0.3">
      <c r="B54" s="44" t="s">
        <v>151</v>
      </c>
      <c r="C54" s="44"/>
      <c r="D54" s="44"/>
      <c r="E54" s="32">
        <v>44301</v>
      </c>
      <c r="F54" s="33"/>
      <c r="G54" s="34" t="s">
        <v>154</v>
      </c>
      <c r="H54" s="33"/>
      <c r="I54" s="21">
        <v>0.5</v>
      </c>
    </row>
  </sheetData>
  <mergeCells count="92">
    <mergeCell ref="H6:K6"/>
    <mergeCell ref="H7:K7"/>
    <mergeCell ref="H8:K8"/>
    <mergeCell ref="H9:K9"/>
    <mergeCell ref="H10:K10"/>
    <mergeCell ref="B6:E6"/>
    <mergeCell ref="B7:E7"/>
    <mergeCell ref="B8:E8"/>
    <mergeCell ref="B9:E9"/>
    <mergeCell ref="B10:E10"/>
    <mergeCell ref="H11:K11"/>
    <mergeCell ref="B17:C17"/>
    <mergeCell ref="B19:C19"/>
    <mergeCell ref="B21:C21"/>
    <mergeCell ref="B23:C23"/>
    <mergeCell ref="K17:N17"/>
    <mergeCell ref="K19:N19"/>
    <mergeCell ref="K21:N21"/>
    <mergeCell ref="K23:N23"/>
    <mergeCell ref="D17:G17"/>
    <mergeCell ref="D19:G19"/>
    <mergeCell ref="D21:G21"/>
    <mergeCell ref="D23:G23"/>
    <mergeCell ref="D25:G25"/>
    <mergeCell ref="I17:J17"/>
    <mergeCell ref="I19:J19"/>
    <mergeCell ref="I21:J21"/>
    <mergeCell ref="I23:J23"/>
    <mergeCell ref="I25:J25"/>
    <mergeCell ref="K25:N25"/>
    <mergeCell ref="B29:C29"/>
    <mergeCell ref="D29:E29"/>
    <mergeCell ref="F29:H29"/>
    <mergeCell ref="I29:K29"/>
    <mergeCell ref="L29:M29"/>
    <mergeCell ref="B25:C25"/>
    <mergeCell ref="B30:C30"/>
    <mergeCell ref="D30:E30"/>
    <mergeCell ref="F30:H30"/>
    <mergeCell ref="I30:K30"/>
    <mergeCell ref="L30:M30"/>
    <mergeCell ref="B31:C31"/>
    <mergeCell ref="D31:E31"/>
    <mergeCell ref="F31:H31"/>
    <mergeCell ref="I31:K31"/>
    <mergeCell ref="L31:M31"/>
    <mergeCell ref="B32:C32"/>
    <mergeCell ref="D32:E32"/>
    <mergeCell ref="F32:H32"/>
    <mergeCell ref="I32:K32"/>
    <mergeCell ref="L32:M32"/>
    <mergeCell ref="B36:C36"/>
    <mergeCell ref="D36:F36"/>
    <mergeCell ref="G36:H36"/>
    <mergeCell ref="I36:J36"/>
    <mergeCell ref="B39:D39"/>
    <mergeCell ref="E39:F39"/>
    <mergeCell ref="H39:I39"/>
    <mergeCell ref="B40:D40"/>
    <mergeCell ref="E40:F40"/>
    <mergeCell ref="H40:I40"/>
    <mergeCell ref="B41:D41"/>
    <mergeCell ref="E41:F41"/>
    <mergeCell ref="H41:I41"/>
    <mergeCell ref="B42:D42"/>
    <mergeCell ref="E42:F42"/>
    <mergeCell ref="H42:I42"/>
    <mergeCell ref="B43:D43"/>
    <mergeCell ref="E43:F43"/>
    <mergeCell ref="H43:I43"/>
    <mergeCell ref="B44:D44"/>
    <mergeCell ref="E44:F44"/>
    <mergeCell ref="H44:I44"/>
    <mergeCell ref="B45:D45"/>
    <mergeCell ref="E45:F45"/>
    <mergeCell ref="H45:I45"/>
    <mergeCell ref="B47:D47"/>
    <mergeCell ref="C48:E48"/>
    <mergeCell ref="G48:I48"/>
    <mergeCell ref="K48:L48"/>
    <mergeCell ref="B51:D51"/>
    <mergeCell ref="E51:F51"/>
    <mergeCell ref="G51:H51"/>
    <mergeCell ref="B54:D54"/>
    <mergeCell ref="E54:F54"/>
    <mergeCell ref="G54:H54"/>
    <mergeCell ref="B52:D52"/>
    <mergeCell ref="E52:F52"/>
    <mergeCell ref="G52:H52"/>
    <mergeCell ref="B53:D53"/>
    <mergeCell ref="E53:F53"/>
    <mergeCell ref="G53:H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88446-40AF-4021-A6FA-11EA5DC4BF45}">
  <sheetPr codeName="Sheet2">
    <tabColor theme="6" tint="0.39997558519241921"/>
  </sheetPr>
  <dimension ref="A1:AX16"/>
  <sheetViews>
    <sheetView zoomScale="80" zoomScaleNormal="80" workbookViewId="0">
      <selection activeCell="C35" sqref="C35"/>
    </sheetView>
  </sheetViews>
  <sheetFormatPr defaultRowHeight="15" x14ac:dyDescent="0.25"/>
  <cols>
    <col min="1" max="1" width="15.7109375" bestFit="1" customWidth="1"/>
    <col min="2" max="2" width="19.85546875" customWidth="1"/>
    <col min="3" max="3" width="19.28515625" bestFit="1" customWidth="1"/>
    <col min="4" max="4" width="8.140625" bestFit="1" customWidth="1"/>
    <col min="5" max="5" width="8.85546875" bestFit="1" customWidth="1"/>
    <col min="6" max="6" width="12.85546875" customWidth="1"/>
    <col min="7" max="7" width="21.7109375" customWidth="1"/>
    <col min="8" max="8" width="7.5703125" customWidth="1"/>
    <col min="9" max="9" width="9.85546875" customWidth="1"/>
    <col min="10" max="10" width="14.85546875" customWidth="1"/>
    <col min="11" max="11" width="21.28515625" customWidth="1"/>
    <col min="12" max="13" width="27" customWidth="1"/>
    <col min="14" max="14" width="16.85546875" customWidth="1"/>
    <col min="15" max="15" width="21.5703125" customWidth="1"/>
    <col min="16" max="16" width="23" customWidth="1"/>
    <col min="17" max="17" width="17.85546875" customWidth="1"/>
    <col min="18" max="18" width="19.28515625" customWidth="1"/>
    <col min="19" max="19" width="23.5703125" customWidth="1"/>
    <col min="20" max="20" width="27.7109375" customWidth="1"/>
    <col min="21" max="21" width="21.42578125" customWidth="1"/>
    <col min="22" max="28" width="26.42578125" customWidth="1"/>
    <col min="29" max="29" width="21.140625" customWidth="1"/>
    <col min="30" max="34" width="22.85546875" customWidth="1"/>
    <col min="35" max="35" width="25.28515625" customWidth="1"/>
    <col min="36" max="46" width="22.85546875" customWidth="1"/>
    <col min="47" max="47" width="15" customWidth="1"/>
    <col min="48" max="48" width="24.42578125" customWidth="1"/>
    <col min="49" max="49" width="21.7109375" customWidth="1"/>
    <col min="50" max="50" width="13.140625" customWidth="1"/>
    <col min="51" max="51" width="12.85546875" customWidth="1"/>
  </cols>
  <sheetData>
    <row r="1" spans="1:50" x14ac:dyDescent="0.25">
      <c r="A1">
        <v>3</v>
      </c>
    </row>
    <row r="5" spans="1:50" x14ac:dyDescent="0.25">
      <c r="B5" t="s">
        <v>64</v>
      </c>
      <c r="C5" t="s">
        <v>65</v>
      </c>
      <c r="D5" t="s">
        <v>66</v>
      </c>
      <c r="E5" t="s">
        <v>67</v>
      </c>
      <c r="F5" t="s">
        <v>68</v>
      </c>
      <c r="G5" t="s">
        <v>69</v>
      </c>
      <c r="H5" t="s">
        <v>70</v>
      </c>
      <c r="I5" t="s">
        <v>71</v>
      </c>
      <c r="J5" t="s">
        <v>72</v>
      </c>
      <c r="K5" t="s">
        <v>73</v>
      </c>
      <c r="L5" t="s">
        <v>74</v>
      </c>
      <c r="N5" t="s">
        <v>75</v>
      </c>
      <c r="O5" t="s">
        <v>76</v>
      </c>
      <c r="P5" t="s">
        <v>77</v>
      </c>
      <c r="Q5" t="s">
        <v>78</v>
      </c>
      <c r="R5" t="s">
        <v>79</v>
      </c>
      <c r="S5" t="s">
        <v>80</v>
      </c>
      <c r="T5" t="s">
        <v>81</v>
      </c>
      <c r="U5" t="s">
        <v>82</v>
      </c>
      <c r="V5" t="s">
        <v>83</v>
      </c>
      <c r="AC5" t="s">
        <v>84</v>
      </c>
      <c r="AO5" t="s">
        <v>85</v>
      </c>
    </row>
    <row r="6" spans="1:50" ht="21" x14ac:dyDescent="0.35">
      <c r="A6" s="63" t="s">
        <v>89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D6" s="63" t="s">
        <v>90</v>
      </c>
      <c r="AE6" s="63"/>
      <c r="AF6" s="63"/>
      <c r="AG6" s="63"/>
      <c r="AH6" s="63"/>
      <c r="AI6" s="63"/>
      <c r="AJ6" s="63"/>
      <c r="AL6" s="63" t="s">
        <v>91</v>
      </c>
      <c r="AM6" s="63"/>
      <c r="AN6" s="63"/>
      <c r="AO6" s="63"/>
      <c r="AP6" s="63"/>
      <c r="AQ6" s="63"/>
      <c r="AS6" s="63" t="s">
        <v>92</v>
      </c>
      <c r="AT6" s="63"/>
      <c r="AU6" s="63"/>
      <c r="AV6" s="63"/>
      <c r="AW6" s="63"/>
      <c r="AX6" s="63"/>
    </row>
    <row r="7" spans="1:50" x14ac:dyDescent="0.25">
      <c r="A7" s="23" t="s">
        <v>57</v>
      </c>
      <c r="B7" s="24" t="s">
        <v>0</v>
      </c>
      <c r="C7" s="24" t="s">
        <v>1</v>
      </c>
      <c r="D7" s="24" t="s">
        <v>2</v>
      </c>
      <c r="E7" s="24" t="s">
        <v>3</v>
      </c>
      <c r="F7" s="24" t="s">
        <v>4</v>
      </c>
      <c r="G7" s="24" t="s">
        <v>5</v>
      </c>
      <c r="H7" s="24" t="s">
        <v>34</v>
      </c>
      <c r="I7" s="24" t="s">
        <v>7</v>
      </c>
      <c r="J7" s="24" t="s">
        <v>8</v>
      </c>
      <c r="K7" s="24" t="s">
        <v>56</v>
      </c>
      <c r="L7" s="24" t="s">
        <v>10</v>
      </c>
      <c r="M7" s="24" t="s">
        <v>11</v>
      </c>
      <c r="N7" s="24" t="s">
        <v>12</v>
      </c>
      <c r="O7" s="24" t="s">
        <v>13</v>
      </c>
      <c r="P7" s="24" t="s">
        <v>14</v>
      </c>
      <c r="Q7" s="24" t="s">
        <v>20</v>
      </c>
      <c r="R7" s="24" t="s">
        <v>15</v>
      </c>
      <c r="S7" s="24" t="s">
        <v>16</v>
      </c>
      <c r="T7" s="24" t="s">
        <v>17</v>
      </c>
      <c r="U7" s="24" t="s">
        <v>18</v>
      </c>
      <c r="V7" s="24" t="s">
        <v>19</v>
      </c>
      <c r="W7" s="24" t="s">
        <v>32</v>
      </c>
      <c r="X7" s="24" t="s">
        <v>87</v>
      </c>
      <c r="Y7" s="24" t="s">
        <v>86</v>
      </c>
      <c r="Z7" s="25" t="s">
        <v>88</v>
      </c>
      <c r="AD7" t="s">
        <v>63</v>
      </c>
      <c r="AE7" t="s">
        <v>57</v>
      </c>
      <c r="AF7" t="s">
        <v>22</v>
      </c>
      <c r="AG7" t="s">
        <v>24</v>
      </c>
      <c r="AH7" t="s">
        <v>25</v>
      </c>
      <c r="AI7" t="s">
        <v>26</v>
      </c>
      <c r="AJ7" t="s">
        <v>58</v>
      </c>
      <c r="AL7" t="s">
        <v>62</v>
      </c>
      <c r="AM7" t="s">
        <v>57</v>
      </c>
      <c r="AN7" t="s">
        <v>59</v>
      </c>
      <c r="AO7" t="s">
        <v>33</v>
      </c>
      <c r="AP7" t="s">
        <v>34</v>
      </c>
      <c r="AQ7" t="s">
        <v>7</v>
      </c>
      <c r="AS7" t="s">
        <v>61</v>
      </c>
      <c r="AT7" t="s">
        <v>57</v>
      </c>
      <c r="AU7" t="s">
        <v>60</v>
      </c>
      <c r="AV7" t="s">
        <v>5</v>
      </c>
      <c r="AW7" t="s">
        <v>38</v>
      </c>
      <c r="AX7" t="s">
        <v>42</v>
      </c>
    </row>
    <row r="8" spans="1:50" x14ac:dyDescent="0.25">
      <c r="A8" s="26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8"/>
    </row>
    <row r="9" spans="1:50" x14ac:dyDescent="0.2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</row>
    <row r="10" spans="1:50" x14ac:dyDescent="0.2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8"/>
    </row>
    <row r="11" spans="1:50" x14ac:dyDescent="0.25">
      <c r="A11" s="29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1"/>
    </row>
    <row r="12" spans="1:50" x14ac:dyDescent="0.2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8"/>
    </row>
    <row r="13" spans="1:50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2"/>
    </row>
    <row r="16" spans="1:50" x14ac:dyDescent="0.25">
      <c r="F16" t="s">
        <v>93</v>
      </c>
    </row>
  </sheetData>
  <mergeCells count="4">
    <mergeCell ref="A6:Z6"/>
    <mergeCell ref="AD6:AJ6"/>
    <mergeCell ref="AL6:AQ6"/>
    <mergeCell ref="AS6:AX6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AF624-4F27-4394-97DC-A426751F9C5A}">
  <sheetPr codeName="Datos">
    <tabColor theme="8" tint="0.39997558519241921"/>
  </sheetPr>
  <dimension ref="A4:H10"/>
  <sheetViews>
    <sheetView workbookViewId="0">
      <selection activeCell="B33" sqref="B33"/>
    </sheetView>
  </sheetViews>
  <sheetFormatPr defaultRowHeight="15" x14ac:dyDescent="0.25"/>
  <cols>
    <col min="1" max="1" width="5.28515625" bestFit="1" customWidth="1"/>
    <col min="2" max="2" width="27.42578125" customWidth="1"/>
    <col min="3" max="3" width="22.140625" customWidth="1"/>
    <col min="4" max="4" width="16.28515625" customWidth="1"/>
    <col min="5" max="5" width="13.28515625" customWidth="1"/>
    <col min="6" max="6" width="25" bestFit="1" customWidth="1"/>
    <col min="7" max="7" width="12.85546875" customWidth="1"/>
    <col min="8" max="8" width="11.140625" bestFit="1" customWidth="1"/>
  </cols>
  <sheetData>
    <row r="4" spans="1:8" ht="15.75" thickBot="1" x14ac:dyDescent="0.3">
      <c r="A4" t="s">
        <v>55</v>
      </c>
      <c r="B4" t="s">
        <v>94</v>
      </c>
      <c r="C4" t="s">
        <v>96</v>
      </c>
      <c r="D4" t="s">
        <v>97</v>
      </c>
      <c r="E4" t="s">
        <v>98</v>
      </c>
      <c r="F4" t="s">
        <v>99</v>
      </c>
      <c r="G4" t="s">
        <v>100</v>
      </c>
      <c r="H4" t="s">
        <v>101</v>
      </c>
    </row>
    <row r="5" spans="1:8" ht="27" thickBot="1" x14ac:dyDescent="0.3">
      <c r="A5" s="2">
        <v>1</v>
      </c>
      <c r="B5" s="3" t="s">
        <v>102</v>
      </c>
      <c r="C5" s="3" t="s">
        <v>103</v>
      </c>
      <c r="D5" s="3" t="s">
        <v>104</v>
      </c>
      <c r="E5" s="3" t="s">
        <v>105</v>
      </c>
      <c r="F5" s="4">
        <v>36526</v>
      </c>
      <c r="G5" s="2">
        <v>24</v>
      </c>
      <c r="H5" s="3" t="s">
        <v>106</v>
      </c>
    </row>
    <row r="6" spans="1:8" ht="15.75" thickBot="1" x14ac:dyDescent="0.3">
      <c r="A6" s="2">
        <v>2</v>
      </c>
      <c r="B6" s="3" t="s">
        <v>107</v>
      </c>
      <c r="C6" s="3" t="s">
        <v>108</v>
      </c>
      <c r="D6" s="3" t="s">
        <v>109</v>
      </c>
      <c r="E6" s="3" t="s">
        <v>110</v>
      </c>
      <c r="F6" s="4">
        <v>34894</v>
      </c>
      <c r="G6" s="2">
        <v>29</v>
      </c>
      <c r="H6" s="3" t="s">
        <v>111</v>
      </c>
    </row>
    <row r="7" spans="1:8" ht="15.75" thickBot="1" x14ac:dyDescent="0.3">
      <c r="A7" s="2">
        <v>3</v>
      </c>
      <c r="B7" s="3" t="s">
        <v>112</v>
      </c>
      <c r="C7" s="3" t="s">
        <v>113</v>
      </c>
      <c r="D7" s="3" t="s">
        <v>114</v>
      </c>
      <c r="E7" s="3" t="s">
        <v>105</v>
      </c>
      <c r="F7" s="4">
        <v>35859</v>
      </c>
      <c r="G7" s="2">
        <v>26</v>
      </c>
      <c r="H7" s="3" t="s">
        <v>106</v>
      </c>
    </row>
    <row r="8" spans="1:8" ht="15.75" thickBot="1" x14ac:dyDescent="0.3">
      <c r="A8" s="2">
        <v>4</v>
      </c>
      <c r="B8" s="3" t="s">
        <v>115</v>
      </c>
      <c r="C8" s="3" t="s">
        <v>116</v>
      </c>
      <c r="D8" s="3" t="s">
        <v>117</v>
      </c>
      <c r="E8" s="3" t="s">
        <v>110</v>
      </c>
      <c r="F8" s="4">
        <v>37583</v>
      </c>
      <c r="G8" s="2">
        <v>21</v>
      </c>
      <c r="H8" s="3" t="s">
        <v>111</v>
      </c>
    </row>
    <row r="9" spans="1:8" ht="27" thickBot="1" x14ac:dyDescent="0.3">
      <c r="A9" s="2">
        <v>5</v>
      </c>
      <c r="B9" s="3" t="s">
        <v>118</v>
      </c>
      <c r="C9" s="3" t="s">
        <v>119</v>
      </c>
      <c r="D9" s="3" t="s">
        <v>120</v>
      </c>
      <c r="E9" s="3" t="s">
        <v>105</v>
      </c>
      <c r="F9" s="4">
        <v>32640</v>
      </c>
      <c r="G9" s="2">
        <v>35</v>
      </c>
      <c r="H9" s="3" t="s">
        <v>106</v>
      </c>
    </row>
    <row r="10" spans="1:8" x14ac:dyDescent="0.25">
      <c r="A10">
        <v>6</v>
      </c>
      <c r="B10" t="s">
        <v>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FORMULARIO</vt:lpstr>
      <vt:lpstr>FORMATO</vt:lpstr>
      <vt:lpstr>EMPLEADOS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MARLON ERNESTO LOPEZ FLORES</dc:creator>
  <cp:lastModifiedBy>MARLON ERNESTO LOPEZ FLORES</cp:lastModifiedBy>
  <dcterms:created xsi:type="dcterms:W3CDTF">2024-06-15T21:36:06Z</dcterms:created>
  <dcterms:modified xsi:type="dcterms:W3CDTF">2024-06-24T05:25:43Z</dcterms:modified>
</cp:coreProperties>
</file>